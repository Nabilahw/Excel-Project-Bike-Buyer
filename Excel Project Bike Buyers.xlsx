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6BDB8A85-A763-4C37-B1D5-781350488CED}" xr6:coauthVersionLast="47" xr6:coauthVersionMax="47" xr10:uidLastSave="{00000000-0000-0000-0000-000000000000}"/>
  <bookViews>
    <workbookView xWindow="-120" yWindow="-120" windowWidth="20730" windowHeight="11160" activeTab="3" xr2:uid="{00000000-000D-0000-FFFF-FFFF00000000}"/>
  </bookViews>
  <sheets>
    <sheet name="bike_buyers (Orig data)" sheetId="1" r:id="rId1"/>
    <sheet name="Cleaned dataset" sheetId="2" r:id="rId2"/>
    <sheet name="Pivot Table" sheetId="3" r:id="rId3"/>
    <sheet name="Dashboard" sheetId="4" r:id="rId4"/>
  </sheets>
  <definedNames>
    <definedName name="_xlnm._FilterDatabase" localSheetId="0" hidden="1">'bike_buyers (Orig data)'!$A$1:$M$1001</definedName>
    <definedName name="_xlnm._FilterDatabase" localSheetId="1" hidden="1">'Cleaned dataset'!$A$1:$N$1001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2" l="1"/>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5" i="2"/>
  <c r="M6" i="2"/>
  <c r="M7" i="2"/>
  <c r="M8" i="2"/>
  <c r="M9" i="2"/>
  <c r="M3" i="2"/>
  <c r="M4" i="2"/>
  <c r="M2" i="2"/>
</calcChain>
</file>

<file path=xl/sharedStrings.xml><?xml version="1.0" encoding="utf-8"?>
<sst xmlns="http://schemas.openxmlformats.org/spreadsheetml/2006/main" count="16280" uniqueCount="52">
  <si>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</si>
  <si>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</si>
  <si>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</si>
  <si>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</si>
  <si>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</si>
  <si>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</si>
  <si>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</si>
  <si>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</si>
  <si>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</si>
  <si>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</si>
  <si>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</si>
  <si>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</si>
  <si>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</si>
  <si>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</si>
  <si>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</si>
  <si>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</si>
  <si>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</si>
  <si>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</si>
  <si>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</si>
  <si>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</si>
  <si>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</si>
  <si>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</si>
  <si>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</si>
  <si>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</si>
  <si>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</si>
  <si>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</si>
  <si>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</si>
  <si>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</si>
  <si>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</si>
  <si>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</si>
  <si>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</si>
  <si>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</si>
  <si>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</si>
  <si>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</si>
  <si>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</si>
  <si>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</si>
  <si>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</si>
  <si>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</si>
  <si>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</si>
  <si>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</si>
  <si>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</si>
  <si>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</si>
  <si>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</si>
  <si>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Column Labels</t>
  </si>
  <si>
    <t>Average of Income</t>
  </si>
  <si>
    <t>More than 10 miles</t>
  </si>
  <si>
    <t>Count of Purchased Bike</t>
  </si>
  <si>
    <t>Young Adult</t>
  </si>
  <si>
    <t>Early Middle Age</t>
  </si>
  <si>
    <t>Middle Age</t>
  </si>
  <si>
    <t>Elderly</t>
  </si>
  <si>
    <t>REGIONAL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</si>
</sst>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409]#,##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43" fontId="0" fillId="0" borderId="0" xfId="0" applyNumberFormat="1" applyAlignment="1">
      <alignment horizontal="left"/>
    </xf>
    <xf numFmtId="166" fontId="0" fillId="0" borderId="0" xfId="0" applyNumberFormat="1"/>
    <xf numFmtId="0" fontId="0" fillId="33" borderId="0" xfId="0" applyFill="1"/>
    <xf numFmtId="0" fontId="0" fillId="0" borderId="0" xfId="0" applyAlignment="1">
      <alignment horizontal="left"/>
    </xf>
    <xf numFmtId="10" fontId="0" fillId="0" borderId="0" xfId="0" applyNumberFormat="1"/>
    <xf numFmtId="0" fontId="0" fillId="0" borderId="0" xfId="0" applyAlignment="1">
      <alignment horizontal="center"/>
    </xf>
    <xf numFmtId="0" fontId="19" fillId="35" borderId="0" xfId="0" applyFont="1" applyFill="1"/>
    <xf numFmtId="0" fontId="19"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5" formatCode="[$$-409]#,##0"/>
    </dxf>
    <dxf>
      <numFmt numFmtId="165" formatCode="[$$-409]#,##0"/>
    </dxf>
    <dxf>
      <numFmt numFmtId="165" formatCode="[$$-409]#,##0"/>
    </dxf>
    <dxf>
      <numFmt numFmtId="165" formatCode="[$$-409]#,##0"/>
    </dxf>
    <dxf>
      <numFmt numFmtId="165" formatCode="[$$-409]#,##0"/>
    </dxf>
    <dxf>
      <numFmt numFmtId="165" formatCode="[$$-409]#,##0"/>
    </dxf>
    <dxf>
      <numFmt numFmtId="35" formatCode="_-* #,##0.00_-;\-* #,##0.00_-;_-* &quot;-&quot;??_-;_-@_-"/>
    </dxf>
    <dxf>
      <numFmt numFmtId="35" formatCode="_-* #,##0.00_-;\-* #,##0.00_-;_-* &quot;-&quot;??_-;_-@_-"/>
    </dxf>
    <dxf>
      <numFmt numFmtId="166" formatCode="_-* #,##0_-;\-* #,##0_-;_-* &quot;-&quot;??_-;_-@_-"/>
    </dxf>
    <dxf>
      <numFmt numFmtId="165" formatCode="[$$-409]#,##0"/>
    </dxf>
    <dxf>
      <numFmt numFmtId="165" formatCode="[$$-409]#,##0"/>
    </dxf>
    <dxf>
      <numFmt numFmtId="165" formatCode="[$$-409]#,##0"/>
    </dxf>
    <dxf>
      <numFmt numFmtId="165" formatCode="[$$-409]#,##0"/>
    </dxf>
    <dxf>
      <numFmt numFmtId="165" formatCode="[$$-409]#,##0"/>
    </dxf>
    <dxf>
      <numFmt numFmtId="165" formatCode="[$$-409]#,##0"/>
    </dxf>
    <dxf>
      <numFmt numFmtId="35" formatCode="_-* #,##0.00_-;\-* #,##0.00_-;_-* &quot;-&quot;??_-;_-@_-"/>
    </dxf>
    <dxf>
      <numFmt numFmtId="35" formatCode="_-* #,##0.00_-;\-* #,##0.00_-;_-* &quot;-&quot;??_-;_-@_-"/>
    </dxf>
    <dxf>
      <numFmt numFmtId="166" formatCode="_-* #,##0_-;\-* #,##0_-;_-* &quot;-&quot;??_-;_-@_-"/>
    </dxf>
    <dxf>
      <numFmt numFmtId="165" formatCode="[$$-409]#,##0"/>
    </dxf>
    <dxf>
      <numFmt numFmtId="165" formatCode="[$$-409]#,##0"/>
    </dxf>
    <dxf>
      <numFmt numFmtId="165" formatCode="[$$-409]#,##0"/>
    </dxf>
    <dxf>
      <numFmt numFmtId="165" formatCode="[$$-409]#,##0"/>
    </dxf>
    <dxf>
      <numFmt numFmtId="165" formatCode="[$$-409]#,##0"/>
    </dxf>
    <dxf>
      <numFmt numFmtId="165" formatCode="[$$-409]#,##0"/>
    </dxf>
    <dxf>
      <numFmt numFmtId="35" formatCode="_-* #,##0.00_-;\-* #,##0.00_-;_-* &quot;-&quot;??_-;_-@_-"/>
    </dxf>
    <dxf>
      <numFmt numFmtId="35" formatCode="_-* #,##0.00_-;\-* #,##0.00_-;_-* &quot;-&quot;??_-;_-@_-"/>
    </dxf>
    <dxf>
      <numFmt numFmtId="166" formatCode="_-* #,##0_-;\-* #,##0_-;_-* &quot;-&quot;??_-;_-@_-"/>
    </dxf>
    <dxf>
      <numFmt numFmtId="165" formatCode="[$$-409]#,##0"/>
    </dxf>
    <dxf>
      <numFmt numFmtId="165" formatCode="[$$-409]#,##0"/>
    </dxf>
    <dxf>
      <numFmt numFmtId="165" formatCode="[$$-409]#,##0"/>
    </dxf>
    <dxf>
      <numFmt numFmtId="165" formatCode="[$$-409]#,##0"/>
    </dxf>
    <dxf>
      <numFmt numFmtId="165" formatCode="[$$-409]#,##0"/>
    </dxf>
    <dxf>
      <numFmt numFmtId="165" formatCode="[$$-409]#,##0"/>
    </dxf>
    <dxf>
      <numFmt numFmtId="166" formatCode="_-* #,##0_-;\-* #,##0_-;_-* &quot;-&quot;??_-;_-@_-"/>
    </dxf>
    <dxf>
      <numFmt numFmtId="35" formatCode="_-* #,##0.00_-;\-* #,##0.00_-;_-* &quot;-&quot;??_-;_-@_-"/>
    </dxf>
    <dxf>
      <numFmt numFmtId="35" formatCode="_-* #,##0.00_-;\-* #,##0.00_-;_-* &quot;-&quot;??_-;_-@_-"/>
    </dxf>
  </dxfs>
  <tableStyles count="0" defaultTableStyle="TableStyleMedium2" defaultPivotStyle="PivotStyleLight16"/>
  <colors>
    <mruColors>
      <color rgb="FFFF0000"/>
      <color rgb="FFBA4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Customer</a:t>
            </a:r>
            <a:r>
              <a:rPr lang="en-MY" baseline="0"/>
              <a:t> </a:t>
            </a:r>
            <a:r>
              <a:rPr lang="en-MY"/>
              <a:t>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15000</c:v>
                </c:pt>
                <c:pt idx="1">
                  <c:v>23333.333333333332</c:v>
                </c:pt>
              </c:numCache>
            </c:numRef>
          </c:val>
          <c:extLst>
            <c:ext xmlns:c16="http://schemas.microsoft.com/office/drawing/2014/chart" uri="{C3380CC4-5D6E-409C-BE32-E72D297353CC}">
              <c16:uniqueId val="{00000000-44A0-40F3-982E-BE5A6390FB7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63333.333333333336</c:v>
                </c:pt>
                <c:pt idx="1">
                  <c:v>48571.428571428572</c:v>
                </c:pt>
              </c:numCache>
            </c:numRef>
          </c:val>
          <c:extLst>
            <c:ext xmlns:c16="http://schemas.microsoft.com/office/drawing/2014/chart" uri="{C3380CC4-5D6E-409C-BE32-E72D297353CC}">
              <c16:uniqueId val="{00000001-44A0-40F3-982E-BE5A6390FB77}"/>
            </c:ext>
          </c:extLst>
        </c:ser>
        <c:dLbls>
          <c:showLegendKey val="0"/>
          <c:showVal val="0"/>
          <c:showCatName val="0"/>
          <c:showSerName val="0"/>
          <c:showPercent val="0"/>
          <c:showBubbleSize val="0"/>
        </c:dLbls>
        <c:gapWidth val="219"/>
        <c:overlap val="-27"/>
        <c:axId val="539741423"/>
        <c:axId val="1364566127"/>
      </c:barChart>
      <c:catAx>
        <c:axId val="53974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66127"/>
        <c:crosses val="autoZero"/>
        <c:auto val="1"/>
        <c:lblAlgn val="ctr"/>
        <c:lblOffset val="100"/>
        <c:noMultiLvlLbl val="0"/>
      </c:catAx>
      <c:valAx>
        <c:axId val="136456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41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r>
              <a:rPr lang="en-MY" baseline="0"/>
              <a:t> Distance with Car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2">
                  <c:v>1</c:v>
                </c:pt>
                <c:pt idx="3">
                  <c:v>1</c:v>
                </c:pt>
              </c:numCache>
            </c:numRef>
          </c:val>
          <c:extLst>
            <c:ext xmlns:c16="http://schemas.microsoft.com/office/drawing/2014/chart" uri="{C3380CC4-5D6E-409C-BE32-E72D297353CC}">
              <c16:uniqueId val="{00000000-63FF-412E-B70C-66755AE90ADC}"/>
            </c:ext>
          </c:extLst>
        </c:ser>
        <c:ser>
          <c:idx val="1"/>
          <c:order val="1"/>
          <c:tx>
            <c:strRef>
              <c:f>'Pivot Table'!$C$19:$C$20</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c:v>
                </c:pt>
                <c:pt idx="1">
                  <c:v>2</c:v>
                </c:pt>
                <c:pt idx="2">
                  <c:v>1</c:v>
                </c:pt>
                <c:pt idx="3">
                  <c:v>2</c:v>
                </c:pt>
                <c:pt idx="4">
                  <c:v>1</c:v>
                </c:pt>
              </c:numCache>
            </c:numRef>
          </c:val>
          <c:extLst>
            <c:ext xmlns:c16="http://schemas.microsoft.com/office/drawing/2014/chart" uri="{C3380CC4-5D6E-409C-BE32-E72D297353CC}">
              <c16:uniqueId val="{00000001-63FF-412E-B70C-66755AE90ADC}"/>
            </c:ext>
          </c:extLst>
        </c:ser>
        <c:ser>
          <c:idx val="2"/>
          <c:order val="2"/>
          <c:tx>
            <c:strRef>
              <c:f>'Pivot Table'!$D$19:$D$20</c:f>
              <c:strCache>
                <c:ptCount val="1"/>
                <c:pt idx="0">
                  <c:v>2</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6</c:v>
                </c:pt>
                <c:pt idx="1">
                  <c:v>19</c:v>
                </c:pt>
                <c:pt idx="2">
                  <c:v>10</c:v>
                </c:pt>
                <c:pt idx="3">
                  <c:v>25</c:v>
                </c:pt>
                <c:pt idx="4">
                  <c:v>9</c:v>
                </c:pt>
              </c:numCache>
            </c:numRef>
          </c:val>
          <c:extLst>
            <c:ext xmlns:c16="http://schemas.microsoft.com/office/drawing/2014/chart" uri="{C3380CC4-5D6E-409C-BE32-E72D297353CC}">
              <c16:uniqueId val="{00000002-63FF-412E-B70C-66755AE90ADC}"/>
            </c:ext>
          </c:extLst>
        </c:ser>
        <c:ser>
          <c:idx val="3"/>
          <c:order val="3"/>
          <c:tx>
            <c:strRef>
              <c:f>'Pivot Table'!$E$19:$E$20</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2</c:v>
                </c:pt>
                <c:pt idx="1">
                  <c:v>1</c:v>
                </c:pt>
                <c:pt idx="3">
                  <c:v>3</c:v>
                </c:pt>
                <c:pt idx="4">
                  <c:v>2</c:v>
                </c:pt>
              </c:numCache>
            </c:numRef>
          </c:val>
          <c:extLst>
            <c:ext xmlns:c16="http://schemas.microsoft.com/office/drawing/2014/chart" uri="{C3380CC4-5D6E-409C-BE32-E72D297353CC}">
              <c16:uniqueId val="{0000000B-63FF-412E-B70C-66755AE90ADC}"/>
            </c:ext>
          </c:extLst>
        </c:ser>
        <c:ser>
          <c:idx val="4"/>
          <c:order val="4"/>
          <c:tx>
            <c:strRef>
              <c:f>'Pivot Table'!$F$19:$F$20</c:f>
              <c:strCache>
                <c:ptCount val="1"/>
                <c:pt idx="0">
                  <c:v>4</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c:v>
                </c:pt>
                <c:pt idx="2">
                  <c:v>1</c:v>
                </c:pt>
                <c:pt idx="3">
                  <c:v>2</c:v>
                </c:pt>
                <c:pt idx="4">
                  <c:v>2</c:v>
                </c:pt>
              </c:numCache>
            </c:numRef>
          </c:val>
          <c:extLst>
            <c:ext xmlns:c16="http://schemas.microsoft.com/office/drawing/2014/chart" uri="{C3380CC4-5D6E-409C-BE32-E72D297353CC}">
              <c16:uniqueId val="{0000000C-63FF-412E-B70C-66755AE90ADC}"/>
            </c:ext>
          </c:extLst>
        </c:ser>
        <c:dLbls>
          <c:dLblPos val="outEnd"/>
          <c:showLegendKey val="0"/>
          <c:showVal val="1"/>
          <c:showCatName val="0"/>
          <c:showSerName val="0"/>
          <c:showPercent val="0"/>
          <c:showBubbleSize val="0"/>
        </c:dLbls>
        <c:gapWidth val="219"/>
        <c:overlap val="-27"/>
        <c:axId val="51139616"/>
        <c:axId val="49933280"/>
      </c:barChart>
      <c:catAx>
        <c:axId val="5113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280"/>
        <c:crosses val="autoZero"/>
        <c:auto val="1"/>
        <c:lblAlgn val="ctr"/>
        <c:lblOffset val="100"/>
        <c:noMultiLvlLbl val="0"/>
      </c:catAx>
      <c:valAx>
        <c:axId val="4993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Table'!$B$36:$B$37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Elderly</c:v>
                </c:pt>
                <c:pt idx="1">
                  <c:v>Middle Age</c:v>
                </c:pt>
                <c:pt idx="2">
                  <c:v>Early Middle Age</c:v>
                </c:pt>
                <c:pt idx="3">
                  <c:v>Young Adult</c:v>
                </c:pt>
              </c:strCache>
            </c:strRef>
          </c:cat>
          <c:val>
            <c:numRef>
              <c:f>'Pivot Table'!$B$38:$B$42</c:f>
              <c:numCache>
                <c:formatCode>General</c:formatCode>
                <c:ptCount val="4"/>
                <c:pt idx="0">
                  <c:v>1</c:v>
                </c:pt>
                <c:pt idx="1">
                  <c:v>42</c:v>
                </c:pt>
                <c:pt idx="2">
                  <c:v>4</c:v>
                </c:pt>
                <c:pt idx="3">
                  <c:v>8</c:v>
                </c:pt>
              </c:numCache>
            </c:numRef>
          </c:val>
          <c:extLst>
            <c:ext xmlns:c16="http://schemas.microsoft.com/office/drawing/2014/chart" uri="{C3380CC4-5D6E-409C-BE32-E72D297353CC}">
              <c16:uniqueId val="{00000000-4045-459D-9255-F105DCF7DFC4}"/>
            </c:ext>
          </c:extLst>
        </c:ser>
        <c:ser>
          <c:idx val="1"/>
          <c:order val="1"/>
          <c:tx>
            <c:strRef>
              <c:f>'Pivot Table'!$C$36:$C$37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Elderly</c:v>
                </c:pt>
                <c:pt idx="1">
                  <c:v>Middle Age</c:v>
                </c:pt>
                <c:pt idx="2">
                  <c:v>Early Middle Age</c:v>
                </c:pt>
                <c:pt idx="3">
                  <c:v>Young Adult</c:v>
                </c:pt>
              </c:strCache>
            </c:strRef>
          </c:cat>
          <c:val>
            <c:numRef>
              <c:f>'Pivot Table'!$C$38:$C$42</c:f>
              <c:numCache>
                <c:formatCode>General</c:formatCode>
                <c:ptCount val="4"/>
                <c:pt idx="1">
                  <c:v>26</c:v>
                </c:pt>
                <c:pt idx="2">
                  <c:v>6</c:v>
                </c:pt>
                <c:pt idx="3">
                  <c:v>9</c:v>
                </c:pt>
              </c:numCache>
            </c:numRef>
          </c:val>
          <c:extLst>
            <c:ext xmlns:c16="http://schemas.microsoft.com/office/drawing/2014/chart" uri="{C3380CC4-5D6E-409C-BE32-E72D297353CC}">
              <c16:uniqueId val="{00000001-4045-459D-9255-F105DCF7DFC4}"/>
            </c:ext>
          </c:extLst>
        </c:ser>
        <c:dLbls>
          <c:dLblPos val="outEnd"/>
          <c:showLegendKey val="0"/>
          <c:showVal val="1"/>
          <c:showCatName val="0"/>
          <c:showSerName val="0"/>
          <c:showPercent val="0"/>
          <c:showBubbleSize val="0"/>
        </c:dLbls>
        <c:gapWidth val="182"/>
        <c:axId val="1857517184"/>
        <c:axId val="61837984"/>
      </c:barChart>
      <c:catAx>
        <c:axId val="1857517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7984"/>
        <c:crosses val="autoZero"/>
        <c:auto val="1"/>
        <c:lblAlgn val="ctr"/>
        <c:lblOffset val="100"/>
        <c:noMultiLvlLbl val="0"/>
      </c:catAx>
      <c:valAx>
        <c:axId val="61837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Occupation</a:t>
            </a:r>
            <a:r>
              <a:rPr lang="en-MY" baseline="0"/>
              <a:t> </a:t>
            </a:r>
            <a:r>
              <a:rPr lang="en-MY"/>
              <a:t>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Table'!$C$52</c:f>
              <c:strCache>
                <c:ptCount val="1"/>
                <c:pt idx="0">
                  <c:v>Count of Purchased Bike</c:v>
                </c:pt>
              </c:strCache>
            </c:strRef>
          </c:tx>
          <c:spPr>
            <a:solidFill>
              <a:schemeClr val="accent2"/>
            </a:solidFill>
            <a:ln>
              <a:noFill/>
            </a:ln>
            <a:effectLst/>
          </c:spPr>
          <c:invertIfNegative val="0"/>
          <c:cat>
            <c:strRef>
              <c:f>'Pivot Table'!$A$53:$A$58</c:f>
              <c:strCache>
                <c:ptCount val="5"/>
                <c:pt idx="0">
                  <c:v>Clerical</c:v>
                </c:pt>
                <c:pt idx="1">
                  <c:v>Management</c:v>
                </c:pt>
                <c:pt idx="2">
                  <c:v>Manual</c:v>
                </c:pt>
                <c:pt idx="3">
                  <c:v>Professional</c:v>
                </c:pt>
                <c:pt idx="4">
                  <c:v>Skilled Manual</c:v>
                </c:pt>
              </c:strCache>
            </c:strRef>
          </c:cat>
          <c:val>
            <c:numRef>
              <c:f>'Pivot Table'!$C$53:$C$58</c:f>
              <c:numCache>
                <c:formatCode>General</c:formatCode>
                <c:ptCount val="5"/>
                <c:pt idx="0">
                  <c:v>2</c:v>
                </c:pt>
                <c:pt idx="1">
                  <c:v>7</c:v>
                </c:pt>
                <c:pt idx="2">
                  <c:v>11</c:v>
                </c:pt>
                <c:pt idx="3">
                  <c:v>40</c:v>
                </c:pt>
                <c:pt idx="4">
                  <c:v>36</c:v>
                </c:pt>
              </c:numCache>
            </c:numRef>
          </c:val>
          <c:extLst>
            <c:ext xmlns:c16="http://schemas.microsoft.com/office/drawing/2014/chart" uri="{C3380CC4-5D6E-409C-BE32-E72D297353CC}">
              <c16:uniqueId val="{00000001-C7E6-49D2-89BF-4D4798B315DA}"/>
            </c:ext>
          </c:extLst>
        </c:ser>
        <c:dLbls>
          <c:showLegendKey val="0"/>
          <c:showVal val="0"/>
          <c:showCatName val="0"/>
          <c:showSerName val="0"/>
          <c:showPercent val="0"/>
          <c:showBubbleSize val="0"/>
        </c:dLbls>
        <c:gapWidth val="219"/>
        <c:axId val="190412656"/>
        <c:axId val="2093770288"/>
      </c:barChart>
      <c:lineChart>
        <c:grouping val="standard"/>
        <c:varyColors val="0"/>
        <c:ser>
          <c:idx val="0"/>
          <c:order val="0"/>
          <c:tx>
            <c:strRef>
              <c:f>'Pivot Table'!$B$52</c:f>
              <c:strCache>
                <c:ptCount val="1"/>
                <c:pt idx="0">
                  <c:v>Average of Income</c:v>
                </c:pt>
              </c:strCache>
            </c:strRef>
          </c:tx>
          <c:spPr>
            <a:ln w="28575" cap="rnd">
              <a:solidFill>
                <a:schemeClr val="accent1"/>
              </a:solidFill>
              <a:round/>
            </a:ln>
            <a:effectLst/>
          </c:spPr>
          <c:marker>
            <c:symbol val="none"/>
          </c:marker>
          <c:cat>
            <c:strRef>
              <c:f>'Pivot Table'!$A$53:$A$58</c:f>
              <c:strCache>
                <c:ptCount val="5"/>
                <c:pt idx="0">
                  <c:v>Clerical</c:v>
                </c:pt>
                <c:pt idx="1">
                  <c:v>Management</c:v>
                </c:pt>
                <c:pt idx="2">
                  <c:v>Manual</c:v>
                </c:pt>
                <c:pt idx="3">
                  <c:v>Professional</c:v>
                </c:pt>
                <c:pt idx="4">
                  <c:v>Skilled Manual</c:v>
                </c:pt>
              </c:strCache>
            </c:strRef>
          </c:cat>
          <c:val>
            <c:numRef>
              <c:f>'Pivot Table'!$B$53:$B$58</c:f>
              <c:numCache>
                <c:formatCode>[$$-409]#,##0</c:formatCode>
                <c:ptCount val="5"/>
                <c:pt idx="0">
                  <c:v>30000</c:v>
                </c:pt>
                <c:pt idx="1">
                  <c:v>100000</c:v>
                </c:pt>
                <c:pt idx="2">
                  <c:v>16363.636363636364</c:v>
                </c:pt>
                <c:pt idx="3">
                  <c:v>72000</c:v>
                </c:pt>
                <c:pt idx="4">
                  <c:v>36111.111111111109</c:v>
                </c:pt>
              </c:numCache>
            </c:numRef>
          </c:val>
          <c:smooth val="0"/>
          <c:extLst>
            <c:ext xmlns:c16="http://schemas.microsoft.com/office/drawing/2014/chart" uri="{C3380CC4-5D6E-409C-BE32-E72D297353CC}">
              <c16:uniqueId val="{00000000-C7E6-49D2-89BF-4D4798B315DA}"/>
            </c:ext>
          </c:extLst>
        </c:ser>
        <c:dLbls>
          <c:showLegendKey val="0"/>
          <c:showVal val="0"/>
          <c:showCatName val="0"/>
          <c:showSerName val="0"/>
          <c:showPercent val="0"/>
          <c:showBubbleSize val="0"/>
        </c:dLbls>
        <c:marker val="1"/>
        <c:smooth val="0"/>
        <c:axId val="190447456"/>
        <c:axId val="61828384"/>
      </c:lineChart>
      <c:catAx>
        <c:axId val="19041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70288"/>
        <c:crosses val="autoZero"/>
        <c:auto val="1"/>
        <c:lblAlgn val="ctr"/>
        <c:lblOffset val="100"/>
        <c:noMultiLvlLbl val="0"/>
      </c:catAx>
      <c:valAx>
        <c:axId val="209377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2656"/>
        <c:crosses val="autoZero"/>
        <c:crossBetween val="between"/>
      </c:valAx>
      <c:valAx>
        <c:axId val="618283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7456"/>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90447456"/>
        <c:scaling>
          <c:orientation val="minMax"/>
        </c:scaling>
        <c:delete val="1"/>
        <c:axPos val="b"/>
        <c:numFmt formatCode="General" sourceLinked="1"/>
        <c:majorTickMark val="out"/>
        <c:minorTickMark val="none"/>
        <c:tickLblPos val="nextTo"/>
        <c:crossAx val="6182838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Customer</a:t>
            </a:r>
            <a:r>
              <a:rPr lang="en-US" baseline="0"/>
              <a:t> Own 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69-4F1A-A52A-618EA83406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69-4F1A-A52A-618EA83406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Table'!$A$68:$A$70</c:f>
              <c:strCache>
                <c:ptCount val="2"/>
                <c:pt idx="0">
                  <c:v>No</c:v>
                </c:pt>
                <c:pt idx="1">
                  <c:v>Yes</c:v>
                </c:pt>
              </c:strCache>
            </c:strRef>
          </c:cat>
          <c:val>
            <c:numRef>
              <c:f>'Pivot Table'!$B$68:$B$70</c:f>
              <c:numCache>
                <c:formatCode>0.00%</c:formatCode>
                <c:ptCount val="2"/>
                <c:pt idx="0">
                  <c:v>0.3125</c:v>
                </c:pt>
                <c:pt idx="1">
                  <c:v>0.6875</c:v>
                </c:pt>
              </c:numCache>
            </c:numRef>
          </c:val>
          <c:extLst>
            <c:ext xmlns:c16="http://schemas.microsoft.com/office/drawing/2014/chart" uri="{C3380CC4-5D6E-409C-BE32-E72D297353CC}">
              <c16:uniqueId val="{00000000-58DF-4E9F-9CA2-BB065FD593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Customer</a:t>
            </a:r>
            <a:r>
              <a:rPr lang="en-MY" baseline="0"/>
              <a:t> </a:t>
            </a:r>
            <a:r>
              <a:rPr lang="en-MY"/>
              <a:t>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15000</c:v>
                </c:pt>
                <c:pt idx="1">
                  <c:v>23333.333333333332</c:v>
                </c:pt>
              </c:numCache>
            </c:numRef>
          </c:val>
          <c:extLst>
            <c:ext xmlns:c16="http://schemas.microsoft.com/office/drawing/2014/chart" uri="{C3380CC4-5D6E-409C-BE32-E72D297353CC}">
              <c16:uniqueId val="{00000000-3BCA-4C97-85BC-02EC92B0A3C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63333.333333333336</c:v>
                </c:pt>
                <c:pt idx="1">
                  <c:v>48571.428571428572</c:v>
                </c:pt>
              </c:numCache>
            </c:numRef>
          </c:val>
          <c:extLst>
            <c:ext xmlns:c16="http://schemas.microsoft.com/office/drawing/2014/chart" uri="{C3380CC4-5D6E-409C-BE32-E72D297353CC}">
              <c16:uniqueId val="{00000001-3BCA-4C97-85BC-02EC92B0A3C1}"/>
            </c:ext>
          </c:extLst>
        </c:ser>
        <c:dLbls>
          <c:showLegendKey val="0"/>
          <c:showVal val="0"/>
          <c:showCatName val="0"/>
          <c:showSerName val="0"/>
          <c:showPercent val="0"/>
          <c:showBubbleSize val="0"/>
        </c:dLbls>
        <c:gapWidth val="219"/>
        <c:overlap val="-27"/>
        <c:axId val="539741423"/>
        <c:axId val="1364566127"/>
      </c:barChart>
      <c:catAx>
        <c:axId val="53974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66127"/>
        <c:crosses val="autoZero"/>
        <c:auto val="1"/>
        <c:lblAlgn val="ctr"/>
        <c:lblOffset val="100"/>
        <c:noMultiLvlLbl val="0"/>
      </c:catAx>
      <c:valAx>
        <c:axId val="136456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41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r>
              <a:rPr lang="en-MY" baseline="0"/>
              <a:t> Distance with Car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2">
                  <c:v>1</c:v>
                </c:pt>
                <c:pt idx="3">
                  <c:v>1</c:v>
                </c:pt>
              </c:numCache>
            </c:numRef>
          </c:val>
          <c:extLst>
            <c:ext xmlns:c16="http://schemas.microsoft.com/office/drawing/2014/chart" uri="{C3380CC4-5D6E-409C-BE32-E72D297353CC}">
              <c16:uniqueId val="{00000000-AC6A-4030-A3DB-58FFEB2C5577}"/>
            </c:ext>
          </c:extLst>
        </c:ser>
        <c:ser>
          <c:idx val="1"/>
          <c:order val="1"/>
          <c:tx>
            <c:strRef>
              <c:f>'Pivot Table'!$C$19:$C$20</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c:v>
                </c:pt>
                <c:pt idx="1">
                  <c:v>2</c:v>
                </c:pt>
                <c:pt idx="2">
                  <c:v>1</c:v>
                </c:pt>
                <c:pt idx="3">
                  <c:v>2</c:v>
                </c:pt>
                <c:pt idx="4">
                  <c:v>1</c:v>
                </c:pt>
              </c:numCache>
            </c:numRef>
          </c:val>
          <c:extLst>
            <c:ext xmlns:c16="http://schemas.microsoft.com/office/drawing/2014/chart" uri="{C3380CC4-5D6E-409C-BE32-E72D297353CC}">
              <c16:uniqueId val="{00000001-AC6A-4030-A3DB-58FFEB2C5577}"/>
            </c:ext>
          </c:extLst>
        </c:ser>
        <c:ser>
          <c:idx val="2"/>
          <c:order val="2"/>
          <c:tx>
            <c:strRef>
              <c:f>'Pivot Table'!$D$19:$D$20</c:f>
              <c:strCache>
                <c:ptCount val="1"/>
                <c:pt idx="0">
                  <c:v>2</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6</c:v>
                </c:pt>
                <c:pt idx="1">
                  <c:v>19</c:v>
                </c:pt>
                <c:pt idx="2">
                  <c:v>10</c:v>
                </c:pt>
                <c:pt idx="3">
                  <c:v>25</c:v>
                </c:pt>
                <c:pt idx="4">
                  <c:v>9</c:v>
                </c:pt>
              </c:numCache>
            </c:numRef>
          </c:val>
          <c:extLst>
            <c:ext xmlns:c16="http://schemas.microsoft.com/office/drawing/2014/chart" uri="{C3380CC4-5D6E-409C-BE32-E72D297353CC}">
              <c16:uniqueId val="{00000002-AC6A-4030-A3DB-58FFEB2C5577}"/>
            </c:ext>
          </c:extLst>
        </c:ser>
        <c:ser>
          <c:idx val="3"/>
          <c:order val="3"/>
          <c:tx>
            <c:strRef>
              <c:f>'Pivot Table'!$E$19:$E$20</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2</c:v>
                </c:pt>
                <c:pt idx="1">
                  <c:v>1</c:v>
                </c:pt>
                <c:pt idx="3">
                  <c:v>3</c:v>
                </c:pt>
                <c:pt idx="4">
                  <c:v>2</c:v>
                </c:pt>
              </c:numCache>
            </c:numRef>
          </c:val>
          <c:extLst>
            <c:ext xmlns:c16="http://schemas.microsoft.com/office/drawing/2014/chart" uri="{C3380CC4-5D6E-409C-BE32-E72D297353CC}">
              <c16:uniqueId val="{00000006-AC6A-4030-A3DB-58FFEB2C5577}"/>
            </c:ext>
          </c:extLst>
        </c:ser>
        <c:ser>
          <c:idx val="4"/>
          <c:order val="4"/>
          <c:tx>
            <c:strRef>
              <c:f>'Pivot Table'!$F$19:$F$20</c:f>
              <c:strCache>
                <c:ptCount val="1"/>
                <c:pt idx="0">
                  <c:v>4</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c:v>
                </c:pt>
                <c:pt idx="2">
                  <c:v>1</c:v>
                </c:pt>
                <c:pt idx="3">
                  <c:v>2</c:v>
                </c:pt>
                <c:pt idx="4">
                  <c:v>2</c:v>
                </c:pt>
              </c:numCache>
            </c:numRef>
          </c:val>
          <c:extLst>
            <c:ext xmlns:c16="http://schemas.microsoft.com/office/drawing/2014/chart" uri="{C3380CC4-5D6E-409C-BE32-E72D297353CC}">
              <c16:uniqueId val="{00000007-AC6A-4030-A3DB-58FFEB2C5577}"/>
            </c:ext>
          </c:extLst>
        </c:ser>
        <c:dLbls>
          <c:dLblPos val="outEnd"/>
          <c:showLegendKey val="0"/>
          <c:showVal val="1"/>
          <c:showCatName val="0"/>
          <c:showSerName val="0"/>
          <c:showPercent val="0"/>
          <c:showBubbleSize val="0"/>
        </c:dLbls>
        <c:gapWidth val="219"/>
        <c:overlap val="-27"/>
        <c:axId val="51139616"/>
        <c:axId val="49933280"/>
      </c:barChart>
      <c:catAx>
        <c:axId val="5113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280"/>
        <c:crosses val="autoZero"/>
        <c:auto val="1"/>
        <c:lblAlgn val="ctr"/>
        <c:lblOffset val="100"/>
        <c:noMultiLvlLbl val="0"/>
      </c:catAx>
      <c:valAx>
        <c:axId val="4993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Table'!$B$36:$B$37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Elderly</c:v>
                </c:pt>
                <c:pt idx="1">
                  <c:v>Middle Age</c:v>
                </c:pt>
                <c:pt idx="2">
                  <c:v>Early Middle Age</c:v>
                </c:pt>
                <c:pt idx="3">
                  <c:v>Young Adult</c:v>
                </c:pt>
              </c:strCache>
            </c:strRef>
          </c:cat>
          <c:val>
            <c:numRef>
              <c:f>'Pivot Table'!$B$38:$B$42</c:f>
              <c:numCache>
                <c:formatCode>General</c:formatCode>
                <c:ptCount val="4"/>
                <c:pt idx="0">
                  <c:v>1</c:v>
                </c:pt>
                <c:pt idx="1">
                  <c:v>42</c:v>
                </c:pt>
                <c:pt idx="2">
                  <c:v>4</c:v>
                </c:pt>
                <c:pt idx="3">
                  <c:v>8</c:v>
                </c:pt>
              </c:numCache>
            </c:numRef>
          </c:val>
          <c:extLst>
            <c:ext xmlns:c16="http://schemas.microsoft.com/office/drawing/2014/chart" uri="{C3380CC4-5D6E-409C-BE32-E72D297353CC}">
              <c16:uniqueId val="{00000000-E220-43E9-8712-7606AD6E110A}"/>
            </c:ext>
          </c:extLst>
        </c:ser>
        <c:ser>
          <c:idx val="1"/>
          <c:order val="1"/>
          <c:tx>
            <c:strRef>
              <c:f>'Pivot Table'!$C$36:$C$37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Elderly</c:v>
                </c:pt>
                <c:pt idx="1">
                  <c:v>Middle Age</c:v>
                </c:pt>
                <c:pt idx="2">
                  <c:v>Early Middle Age</c:v>
                </c:pt>
                <c:pt idx="3">
                  <c:v>Young Adult</c:v>
                </c:pt>
              </c:strCache>
            </c:strRef>
          </c:cat>
          <c:val>
            <c:numRef>
              <c:f>'Pivot Table'!$C$38:$C$42</c:f>
              <c:numCache>
                <c:formatCode>General</c:formatCode>
                <c:ptCount val="4"/>
                <c:pt idx="1">
                  <c:v>26</c:v>
                </c:pt>
                <c:pt idx="2">
                  <c:v>6</c:v>
                </c:pt>
                <c:pt idx="3">
                  <c:v>9</c:v>
                </c:pt>
              </c:numCache>
            </c:numRef>
          </c:val>
          <c:extLst>
            <c:ext xmlns:c16="http://schemas.microsoft.com/office/drawing/2014/chart" uri="{C3380CC4-5D6E-409C-BE32-E72D297353CC}">
              <c16:uniqueId val="{00000001-E220-43E9-8712-7606AD6E110A}"/>
            </c:ext>
          </c:extLst>
        </c:ser>
        <c:dLbls>
          <c:dLblPos val="outEnd"/>
          <c:showLegendKey val="0"/>
          <c:showVal val="1"/>
          <c:showCatName val="0"/>
          <c:showSerName val="0"/>
          <c:showPercent val="0"/>
          <c:showBubbleSize val="0"/>
        </c:dLbls>
        <c:gapWidth val="182"/>
        <c:axId val="1857517184"/>
        <c:axId val="61837984"/>
      </c:barChart>
      <c:catAx>
        <c:axId val="1857517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7984"/>
        <c:crosses val="autoZero"/>
        <c:auto val="1"/>
        <c:lblAlgn val="ctr"/>
        <c:lblOffset val="100"/>
        <c:noMultiLvlLbl val="0"/>
      </c:catAx>
      <c:valAx>
        <c:axId val="61837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Occupation</a:t>
            </a:r>
            <a:r>
              <a:rPr lang="en-MY" baseline="0"/>
              <a:t> </a:t>
            </a:r>
            <a:r>
              <a:rPr lang="en-MY"/>
              <a:t>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Table'!$C$52</c:f>
              <c:strCache>
                <c:ptCount val="1"/>
                <c:pt idx="0">
                  <c:v>Count of Purchased Bike</c:v>
                </c:pt>
              </c:strCache>
            </c:strRef>
          </c:tx>
          <c:spPr>
            <a:solidFill>
              <a:schemeClr val="accent2"/>
            </a:solidFill>
            <a:ln>
              <a:noFill/>
            </a:ln>
            <a:effectLst/>
          </c:spPr>
          <c:invertIfNegative val="0"/>
          <c:cat>
            <c:strRef>
              <c:f>'Pivot Table'!$A$53:$A$58</c:f>
              <c:strCache>
                <c:ptCount val="5"/>
                <c:pt idx="0">
                  <c:v>Clerical</c:v>
                </c:pt>
                <c:pt idx="1">
                  <c:v>Management</c:v>
                </c:pt>
                <c:pt idx="2">
                  <c:v>Manual</c:v>
                </c:pt>
                <c:pt idx="3">
                  <c:v>Professional</c:v>
                </c:pt>
                <c:pt idx="4">
                  <c:v>Skilled Manual</c:v>
                </c:pt>
              </c:strCache>
            </c:strRef>
          </c:cat>
          <c:val>
            <c:numRef>
              <c:f>'Pivot Table'!$C$53:$C$58</c:f>
              <c:numCache>
                <c:formatCode>General</c:formatCode>
                <c:ptCount val="5"/>
                <c:pt idx="0">
                  <c:v>2</c:v>
                </c:pt>
                <c:pt idx="1">
                  <c:v>7</c:v>
                </c:pt>
                <c:pt idx="2">
                  <c:v>11</c:v>
                </c:pt>
                <c:pt idx="3">
                  <c:v>40</c:v>
                </c:pt>
                <c:pt idx="4">
                  <c:v>36</c:v>
                </c:pt>
              </c:numCache>
            </c:numRef>
          </c:val>
          <c:extLst>
            <c:ext xmlns:c16="http://schemas.microsoft.com/office/drawing/2014/chart" uri="{C3380CC4-5D6E-409C-BE32-E72D297353CC}">
              <c16:uniqueId val="{00000000-EE40-4EFE-90F6-CD32B9075434}"/>
            </c:ext>
          </c:extLst>
        </c:ser>
        <c:dLbls>
          <c:showLegendKey val="0"/>
          <c:showVal val="0"/>
          <c:showCatName val="0"/>
          <c:showSerName val="0"/>
          <c:showPercent val="0"/>
          <c:showBubbleSize val="0"/>
        </c:dLbls>
        <c:gapWidth val="219"/>
        <c:axId val="190412656"/>
        <c:axId val="2093770288"/>
      </c:barChart>
      <c:lineChart>
        <c:grouping val="standard"/>
        <c:varyColors val="0"/>
        <c:ser>
          <c:idx val="0"/>
          <c:order val="0"/>
          <c:tx>
            <c:strRef>
              <c:f>'Pivot Table'!$B$52</c:f>
              <c:strCache>
                <c:ptCount val="1"/>
                <c:pt idx="0">
                  <c:v>Average of Income</c:v>
                </c:pt>
              </c:strCache>
            </c:strRef>
          </c:tx>
          <c:spPr>
            <a:ln w="28575" cap="rnd">
              <a:solidFill>
                <a:schemeClr val="accent1"/>
              </a:solidFill>
              <a:round/>
            </a:ln>
            <a:effectLst/>
          </c:spPr>
          <c:marker>
            <c:symbol val="none"/>
          </c:marker>
          <c:cat>
            <c:strRef>
              <c:f>'Pivot Table'!$A$53:$A$58</c:f>
              <c:strCache>
                <c:ptCount val="5"/>
                <c:pt idx="0">
                  <c:v>Clerical</c:v>
                </c:pt>
                <c:pt idx="1">
                  <c:v>Management</c:v>
                </c:pt>
                <c:pt idx="2">
                  <c:v>Manual</c:v>
                </c:pt>
                <c:pt idx="3">
                  <c:v>Professional</c:v>
                </c:pt>
                <c:pt idx="4">
                  <c:v>Skilled Manual</c:v>
                </c:pt>
              </c:strCache>
            </c:strRef>
          </c:cat>
          <c:val>
            <c:numRef>
              <c:f>'Pivot Table'!$B$53:$B$58</c:f>
              <c:numCache>
                <c:formatCode>[$$-409]#,##0</c:formatCode>
                <c:ptCount val="5"/>
                <c:pt idx="0">
                  <c:v>30000</c:v>
                </c:pt>
                <c:pt idx="1">
                  <c:v>100000</c:v>
                </c:pt>
                <c:pt idx="2">
                  <c:v>16363.636363636364</c:v>
                </c:pt>
                <c:pt idx="3">
                  <c:v>72000</c:v>
                </c:pt>
                <c:pt idx="4">
                  <c:v>36111.111111111109</c:v>
                </c:pt>
              </c:numCache>
            </c:numRef>
          </c:val>
          <c:smooth val="0"/>
          <c:extLst>
            <c:ext xmlns:c16="http://schemas.microsoft.com/office/drawing/2014/chart" uri="{C3380CC4-5D6E-409C-BE32-E72D297353CC}">
              <c16:uniqueId val="{00000001-EE40-4EFE-90F6-CD32B9075434}"/>
            </c:ext>
          </c:extLst>
        </c:ser>
        <c:dLbls>
          <c:showLegendKey val="0"/>
          <c:showVal val="0"/>
          <c:showCatName val="0"/>
          <c:showSerName val="0"/>
          <c:showPercent val="0"/>
          <c:showBubbleSize val="0"/>
        </c:dLbls>
        <c:marker val="1"/>
        <c:smooth val="0"/>
        <c:axId val="190447456"/>
        <c:axId val="61828384"/>
      </c:lineChart>
      <c:catAx>
        <c:axId val="19041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Occupation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70288"/>
        <c:crosses val="autoZero"/>
        <c:auto val="1"/>
        <c:lblAlgn val="ctr"/>
        <c:lblOffset val="100"/>
        <c:noMultiLvlLbl val="0"/>
      </c:catAx>
      <c:valAx>
        <c:axId val="209377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2656"/>
        <c:crosses val="autoZero"/>
        <c:crossBetween val="between"/>
      </c:valAx>
      <c:valAx>
        <c:axId val="618283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7456"/>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90447456"/>
        <c:scaling>
          <c:orientation val="minMax"/>
        </c:scaling>
        <c:delete val="1"/>
        <c:axPos val="b"/>
        <c:numFmt formatCode="General" sourceLinked="1"/>
        <c:majorTickMark val="out"/>
        <c:minorTickMark val="none"/>
        <c:tickLblPos val="nextTo"/>
        <c:crossAx val="61828384"/>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Customer</a:t>
            </a:r>
            <a:r>
              <a:rPr lang="en-US" baseline="0"/>
              <a:t> Own 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F9-4236-9551-37754892F4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F9-4236-9551-37754892F4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Table'!$A$68:$A$70</c:f>
              <c:strCache>
                <c:ptCount val="2"/>
                <c:pt idx="0">
                  <c:v>No</c:v>
                </c:pt>
                <c:pt idx="1">
                  <c:v>Yes</c:v>
                </c:pt>
              </c:strCache>
            </c:strRef>
          </c:cat>
          <c:val>
            <c:numRef>
              <c:f>'Pivot Table'!$B$68:$B$70</c:f>
              <c:numCache>
                <c:formatCode>0.00%</c:formatCode>
                <c:ptCount val="2"/>
                <c:pt idx="0">
                  <c:v>0.3125</c:v>
                </c:pt>
                <c:pt idx="1">
                  <c:v>0.6875</c:v>
                </c:pt>
              </c:numCache>
            </c:numRef>
          </c:val>
          <c:extLst>
            <c:ext xmlns:c16="http://schemas.microsoft.com/office/drawing/2014/chart" uri="{C3380CC4-5D6E-409C-BE32-E72D297353CC}">
              <c16:uniqueId val="{00000004-B8F9-4236-9551-37754892F4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200024</xdr:colOff>
      <xdr:row>2</xdr:row>
      <xdr:rowOff>4762</xdr:rowOff>
    </xdr:from>
    <xdr:to>
      <xdr:col>16</xdr:col>
      <xdr:colOff>0</xdr:colOff>
      <xdr:row>14</xdr:row>
      <xdr:rowOff>152400</xdr:rowOff>
    </xdr:to>
    <xdr:graphicFrame macro="">
      <xdr:nvGraphicFramePr>
        <xdr:cNvPr id="2" name="inc/pur">
          <a:extLst>
            <a:ext uri="{FF2B5EF4-FFF2-40B4-BE49-F238E27FC236}">
              <a16:creationId xmlns:a16="http://schemas.microsoft.com/office/drawing/2014/main" id="{B808588F-5BEB-B4B5-2691-FE43456ED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266699</xdr:colOff>
      <xdr:row>17</xdr:row>
      <xdr:rowOff>23812</xdr:rowOff>
    </xdr:from>
    <xdr:to>
      <xdr:col>19</xdr:col>
      <xdr:colOff>533400</xdr:colOff>
      <xdr:row>32</xdr:row>
      <xdr:rowOff>19050</xdr:rowOff>
    </xdr:to>
    <xdr:graphicFrame macro="">
      <xdr:nvGraphicFramePr>
        <xdr:cNvPr id="3" name="Chart 2">
          <a:extLst>
            <a:ext uri="{FF2B5EF4-FFF2-40B4-BE49-F238E27FC236}">
              <a16:creationId xmlns:a16="http://schemas.microsoft.com/office/drawing/2014/main" id="{1B3C4BEB-87F8-8EF0-2D94-F285DE17F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33</xdr:row>
      <xdr:rowOff>71437</xdr:rowOff>
    </xdr:from>
    <xdr:to>
      <xdr:col>18</xdr:col>
      <xdr:colOff>523875</xdr:colOff>
      <xdr:row>48</xdr:row>
      <xdr:rowOff>28575</xdr:rowOff>
    </xdr:to>
    <xdr:graphicFrame macro="">
      <xdr:nvGraphicFramePr>
        <xdr:cNvPr id="4" name="Chart 3">
          <a:extLst>
            <a:ext uri="{FF2B5EF4-FFF2-40B4-BE49-F238E27FC236}">
              <a16:creationId xmlns:a16="http://schemas.microsoft.com/office/drawing/2014/main" id="{1DC7C79B-B567-4014-DB22-8136AD817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333375</xdr:colOff>
      <xdr:row>48</xdr:row>
      <xdr:rowOff>128587</xdr:rowOff>
    </xdr:from>
    <xdr:to>
      <xdr:col>10</xdr:col>
      <xdr:colOff>1114425</xdr:colOff>
      <xdr:row>63</xdr:row>
      <xdr:rowOff>9525</xdr:rowOff>
    </xdr:to>
    <xdr:graphicFrame macro="">
      <xdr:nvGraphicFramePr>
        <xdr:cNvPr id="6" name="Chart 5">
          <a:extLst>
            <a:ext uri="{FF2B5EF4-FFF2-40B4-BE49-F238E27FC236}">
              <a16:creationId xmlns:a16="http://schemas.microsoft.com/office/drawing/2014/main" id="{25A3154E-BBFF-4299-4551-E9F601E01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400050</xdr:colOff>
      <xdr:row>65</xdr:row>
      <xdr:rowOff>166687</xdr:rowOff>
    </xdr:from>
    <xdr:to>
      <xdr:col>5</xdr:col>
      <xdr:colOff>895350</xdr:colOff>
      <xdr:row>80</xdr:row>
      <xdr:rowOff>114300</xdr:rowOff>
    </xdr:to>
    <xdr:graphicFrame macro="">
      <xdr:nvGraphicFramePr>
        <xdr:cNvPr id="7" name="home own">
          <a:extLst>
            <a:ext uri="{FF2B5EF4-FFF2-40B4-BE49-F238E27FC236}">
              <a16:creationId xmlns:a16="http://schemas.microsoft.com/office/drawing/2014/main" id="{D5FAEC5B-DF55-6077-9BAF-CB56C3D7C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69022</xdr:colOff>
      <xdr:row>7</xdr:row>
      <xdr:rowOff>82824</xdr:rowOff>
    </xdr:from>
    <xdr:to>
      <xdr:col>13</xdr:col>
      <xdr:colOff>138043</xdr:colOff>
      <xdr:row>21</xdr:row>
      <xdr:rowOff>138043</xdr:rowOff>
    </xdr:to>
    <xdr:graphicFrame macro="">
      <xdr:nvGraphicFramePr>
        <xdr:cNvPr id="2" name="Chart 1">
          <a:extLst>
            <a:ext uri="{FF2B5EF4-FFF2-40B4-BE49-F238E27FC236}">
              <a16:creationId xmlns:a16="http://schemas.microsoft.com/office/drawing/2014/main" id="{7A3F1AAF-BCBE-486D-B48A-60FA24A40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262566</xdr:colOff>
      <xdr:row>7</xdr:row>
      <xdr:rowOff>78734</xdr:rowOff>
    </xdr:from>
    <xdr:to>
      <xdr:col>21</xdr:col>
      <xdr:colOff>538369</xdr:colOff>
      <xdr:row>21</xdr:row>
      <xdr:rowOff>138044</xdr:rowOff>
    </xdr:to>
    <xdr:graphicFrame macro="">
      <xdr:nvGraphicFramePr>
        <xdr:cNvPr id="3" name="Chart 2">
          <a:extLst>
            <a:ext uri="{FF2B5EF4-FFF2-40B4-BE49-F238E27FC236}">
              <a16:creationId xmlns:a16="http://schemas.microsoft.com/office/drawing/2014/main" id="{79EC80DB-A44B-4265-99B4-CFDE9A0BD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73713</xdr:colOff>
      <xdr:row>22</xdr:row>
      <xdr:rowOff>44726</xdr:rowOff>
    </xdr:from>
    <xdr:to>
      <xdr:col>13</xdr:col>
      <xdr:colOff>165652</xdr:colOff>
      <xdr:row>36</xdr:row>
      <xdr:rowOff>96630</xdr:rowOff>
    </xdr:to>
    <xdr:graphicFrame macro="">
      <xdr:nvGraphicFramePr>
        <xdr:cNvPr id="4" name="Chart 3">
          <a:extLst>
            <a:ext uri="{FF2B5EF4-FFF2-40B4-BE49-F238E27FC236}">
              <a16:creationId xmlns:a16="http://schemas.microsoft.com/office/drawing/2014/main" id="{D5400745-1630-4952-9CAB-DA3409142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55218</xdr:colOff>
      <xdr:row>37</xdr:row>
      <xdr:rowOff>27608</xdr:rowOff>
    </xdr:from>
    <xdr:to>
      <xdr:col>21</xdr:col>
      <xdr:colOff>552174</xdr:colOff>
      <xdr:row>52</xdr:row>
      <xdr:rowOff>124238</xdr:rowOff>
    </xdr:to>
    <xdr:graphicFrame macro="">
      <xdr:nvGraphicFramePr>
        <xdr:cNvPr id="5" name="Chart 4">
          <a:extLst>
            <a:ext uri="{FF2B5EF4-FFF2-40B4-BE49-F238E27FC236}">
              <a16:creationId xmlns:a16="http://schemas.microsoft.com/office/drawing/2014/main" id="{4E6D5C02-18A9-4811-9A1B-1DEF64434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282712</xdr:colOff>
      <xdr:row>22</xdr:row>
      <xdr:rowOff>50525</xdr:rowOff>
    </xdr:from>
    <xdr:to>
      <xdr:col>21</xdr:col>
      <xdr:colOff>552174</xdr:colOff>
      <xdr:row>36</xdr:row>
      <xdr:rowOff>96631</xdr:rowOff>
    </xdr:to>
    <xdr:graphicFrame macro="">
      <xdr:nvGraphicFramePr>
        <xdr:cNvPr id="6" name="Chart 5">
          <a:extLst>
            <a:ext uri="{FF2B5EF4-FFF2-40B4-BE49-F238E27FC236}">
              <a16:creationId xmlns:a16="http://schemas.microsoft.com/office/drawing/2014/main" id="{CCBD9970-965D-4D66-814F-EB0D6C473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124239</xdr:colOff>
      <xdr:row>7</xdr:row>
      <xdr:rowOff>107537</xdr:rowOff>
    </xdr:from>
    <xdr:to>
      <xdr:col>4</xdr:col>
      <xdr:colOff>234674</xdr:colOff>
      <xdr:row>12</xdr:row>
      <xdr:rowOff>55219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F0986C6D-DCB1-3457-1FC8-6F309F932D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4239" y="1441037"/>
              <a:ext cx="2548835" cy="90018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149364</xdr:colOff>
      <xdr:row>12</xdr:row>
      <xdr:rowOff>190364</xdr:rowOff>
    </xdr:from>
    <xdr:to>
      <xdr:col>4</xdr:col>
      <xdr:colOff>262283</xdr:colOff>
      <xdr:row>23</xdr:row>
      <xdr:rowOff>76200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4393593-E29F-E4F9-6771-8A869AC5A26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9364" y="2476364"/>
              <a:ext cx="2551319" cy="198133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129485</xdr:colOff>
      <xdr:row>24</xdr:row>
      <xdr:rowOff>7040</xdr:rowOff>
    </xdr:from>
    <xdr:to>
      <xdr:col>4</xdr:col>
      <xdr:colOff>253724</xdr:colOff>
      <xdr:row>30</xdr:row>
      <xdr:rowOff>65156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E12413C-D290-8D45-358E-5695BD5A5C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485" y="4579040"/>
              <a:ext cx="2562639" cy="120111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181.717775347221" createdVersion="8" refreshedVersion="8" minRefreshableVersion="3" recordCount="1000" xr:uid="{7987961E-2833-4B6E-A080-494CE87FCB36}">
  <cacheSource type="worksheet">
    <worksheetSource ref="A1:N1001" sheet="Cleaned 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4">
        <s v="Early Middle Age"/>
        <s v="Middle Age"/>
        <s v="Young Adult"/>
        <s v="Elderly"/>
      </sharedItems>
    </cacheField>
    <cacheField name="Purchased Bike" numFmtId="0">
      <sharedItems count="2">
        <s v="No"/>
        <s v="Yes"/>
      </sharedItems>
    </cacheField>
  </cacheFields>
  <extLst>
    <ext xmlns:x14="http://schemas.microsoft.com/office/spreadsheetml/2009/9/main" uri="{725AE2AE-9491-48be-B2B4-4EB974FC3084}">
      <x14:pivotCacheDefinition pivotCacheId="820981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1"/>
    <x v="0"/>
  </r>
  <r>
    <n v="27974"/>
    <x v="1"/>
    <x v="1"/>
    <n v="160000"/>
    <n v="2"/>
    <x v="2"/>
    <x v="4"/>
    <x v="0"/>
    <x v="3"/>
    <x v="0"/>
    <x v="1"/>
    <n v="33"/>
    <x v="2"/>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1"/>
    <x v="1"/>
  </r>
  <r>
    <n v="12697"/>
    <x v="1"/>
    <x v="0"/>
    <n v="90000"/>
    <n v="0"/>
    <x v="0"/>
    <x v="2"/>
    <x v="1"/>
    <x v="3"/>
    <x v="4"/>
    <x v="1"/>
    <n v="36"/>
    <x v="0"/>
    <x v="0"/>
  </r>
  <r>
    <n v="11434"/>
    <x v="0"/>
    <x v="1"/>
    <n v="170000"/>
    <n v="5"/>
    <x v="1"/>
    <x v="2"/>
    <x v="0"/>
    <x v="0"/>
    <x v="0"/>
    <x v="0"/>
    <n v="55"/>
    <x v="1"/>
    <x v="0"/>
  </r>
  <r>
    <n v="25323"/>
    <x v="0"/>
    <x v="1"/>
    <n v="40000"/>
    <n v="2"/>
    <x v="1"/>
    <x v="1"/>
    <x v="0"/>
    <x v="1"/>
    <x v="3"/>
    <x v="0"/>
    <n v="35"/>
    <x v="2"/>
    <x v="1"/>
  </r>
  <r>
    <n v="23542"/>
    <x v="1"/>
    <x v="1"/>
    <n v="60000"/>
    <n v="1"/>
    <x v="1"/>
    <x v="0"/>
    <x v="1"/>
    <x v="1"/>
    <x v="0"/>
    <x v="1"/>
    <n v="45"/>
    <x v="1"/>
    <x v="1"/>
  </r>
  <r>
    <n v="20870"/>
    <x v="1"/>
    <x v="0"/>
    <n v="10000"/>
    <n v="2"/>
    <x v="2"/>
    <x v="3"/>
    <x v="0"/>
    <x v="1"/>
    <x v="0"/>
    <x v="0"/>
    <n v="38"/>
    <x v="0"/>
    <x v="1"/>
  </r>
  <r>
    <n v="23316"/>
    <x v="1"/>
    <x v="1"/>
    <n v="30000"/>
    <n v="3"/>
    <x v="1"/>
    <x v="1"/>
    <x v="1"/>
    <x v="2"/>
    <x v="3"/>
    <x v="1"/>
    <n v="59"/>
    <x v="1"/>
    <x v="1"/>
  </r>
  <r>
    <n v="12610"/>
    <x v="0"/>
    <x v="0"/>
    <n v="30000"/>
    <n v="1"/>
    <x v="0"/>
    <x v="1"/>
    <x v="0"/>
    <x v="0"/>
    <x v="0"/>
    <x v="0"/>
    <n v="47"/>
    <x v="1"/>
    <x v="0"/>
  </r>
  <r>
    <n v="27183"/>
    <x v="1"/>
    <x v="1"/>
    <n v="40000"/>
    <n v="2"/>
    <x v="1"/>
    <x v="1"/>
    <x v="0"/>
    <x v="1"/>
    <x v="3"/>
    <x v="0"/>
    <n v="35"/>
    <x v="2"/>
    <x v="1"/>
  </r>
  <r>
    <n v="25940"/>
    <x v="1"/>
    <x v="1"/>
    <n v="20000"/>
    <n v="2"/>
    <x v="3"/>
    <x v="1"/>
    <x v="0"/>
    <x v="2"/>
    <x v="2"/>
    <x v="1"/>
    <n v="55"/>
    <x v="1"/>
    <x v="1"/>
  </r>
  <r>
    <n v="25598"/>
    <x v="0"/>
    <x v="0"/>
    <n v="40000"/>
    <n v="0"/>
    <x v="4"/>
    <x v="1"/>
    <x v="0"/>
    <x v="0"/>
    <x v="0"/>
    <x v="0"/>
    <n v="36"/>
    <x v="0"/>
    <x v="1"/>
  </r>
  <r>
    <n v="21564"/>
    <x v="1"/>
    <x v="0"/>
    <n v="80000"/>
    <n v="0"/>
    <x v="0"/>
    <x v="2"/>
    <x v="0"/>
    <x v="3"/>
    <x v="4"/>
    <x v="1"/>
    <n v="35"/>
    <x v="2"/>
    <x v="0"/>
  </r>
  <r>
    <n v="19193"/>
    <x v="1"/>
    <x v="1"/>
    <n v="40000"/>
    <n v="2"/>
    <x v="1"/>
    <x v="1"/>
    <x v="0"/>
    <x v="0"/>
    <x v="3"/>
    <x v="0"/>
    <n v="35"/>
    <x v="2"/>
    <x v="1"/>
  </r>
  <r>
    <n v="26412"/>
    <x v="0"/>
    <x v="0"/>
    <n v="80000"/>
    <n v="5"/>
    <x v="2"/>
    <x v="4"/>
    <x v="1"/>
    <x v="4"/>
    <x v="2"/>
    <x v="0"/>
    <n v="56"/>
    <x v="1"/>
    <x v="0"/>
  </r>
  <r>
    <n v="27184"/>
    <x v="1"/>
    <x v="1"/>
    <n v="40000"/>
    <n v="2"/>
    <x v="1"/>
    <x v="1"/>
    <x v="1"/>
    <x v="1"/>
    <x v="0"/>
    <x v="0"/>
    <n v="34"/>
    <x v="2"/>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2"/>
    <x v="1"/>
  </r>
  <r>
    <n v="19273"/>
    <x v="0"/>
    <x v="0"/>
    <n v="20000"/>
    <n v="2"/>
    <x v="1"/>
    <x v="3"/>
    <x v="0"/>
    <x v="0"/>
    <x v="0"/>
    <x v="0"/>
    <n v="63"/>
    <x v="1"/>
    <x v="0"/>
  </r>
  <r>
    <n v="22400"/>
    <x v="0"/>
    <x v="1"/>
    <n v="10000"/>
    <n v="0"/>
    <x v="1"/>
    <x v="3"/>
    <x v="1"/>
    <x v="1"/>
    <x v="0"/>
    <x v="1"/>
    <n v="26"/>
    <x v="2"/>
    <x v="1"/>
  </r>
  <r>
    <n v="20942"/>
    <x v="1"/>
    <x v="0"/>
    <n v="20000"/>
    <n v="0"/>
    <x v="2"/>
    <x v="3"/>
    <x v="1"/>
    <x v="1"/>
    <x v="2"/>
    <x v="0"/>
    <n v="31"/>
    <x v="2"/>
    <x v="0"/>
  </r>
  <r>
    <n v="18484"/>
    <x v="1"/>
    <x v="1"/>
    <n v="80000"/>
    <n v="2"/>
    <x v="2"/>
    <x v="0"/>
    <x v="1"/>
    <x v="2"/>
    <x v="3"/>
    <x v="1"/>
    <n v="50"/>
    <x v="1"/>
    <x v="1"/>
  </r>
  <r>
    <n v="12291"/>
    <x v="1"/>
    <x v="1"/>
    <n v="90000"/>
    <n v="5"/>
    <x v="1"/>
    <x v="2"/>
    <x v="1"/>
    <x v="2"/>
    <x v="1"/>
    <x v="0"/>
    <n v="62"/>
    <x v="1"/>
    <x v="1"/>
  </r>
  <r>
    <n v="28380"/>
    <x v="1"/>
    <x v="0"/>
    <n v="10000"/>
    <n v="5"/>
    <x v="3"/>
    <x v="3"/>
    <x v="1"/>
    <x v="2"/>
    <x v="0"/>
    <x v="0"/>
    <n v="41"/>
    <x v="0"/>
    <x v="0"/>
  </r>
  <r>
    <n v="17891"/>
    <x v="0"/>
    <x v="0"/>
    <n v="10000"/>
    <n v="2"/>
    <x v="1"/>
    <x v="3"/>
    <x v="0"/>
    <x v="1"/>
    <x v="0"/>
    <x v="0"/>
    <n v="50"/>
    <x v="1"/>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3"/>
    <x v="1"/>
  </r>
  <r>
    <n v="17703"/>
    <x v="0"/>
    <x v="0"/>
    <n v="10000"/>
    <n v="1"/>
    <x v="4"/>
    <x v="3"/>
    <x v="0"/>
    <x v="0"/>
    <x v="0"/>
    <x v="0"/>
    <n v="40"/>
    <x v="0"/>
    <x v="0"/>
  </r>
  <r>
    <n v="17185"/>
    <x v="0"/>
    <x v="0"/>
    <n v="170000"/>
    <n v="4"/>
    <x v="1"/>
    <x v="2"/>
    <x v="1"/>
    <x v="4"/>
    <x v="2"/>
    <x v="0"/>
    <n v="48"/>
    <x v="1"/>
    <x v="1"/>
  </r>
  <r>
    <n v="29380"/>
    <x v="0"/>
    <x v="0"/>
    <n v="20000"/>
    <n v="3"/>
    <x v="2"/>
    <x v="3"/>
    <x v="0"/>
    <x v="0"/>
    <x v="0"/>
    <x v="0"/>
    <n v="41"/>
    <x v="0"/>
    <x v="1"/>
  </r>
  <r>
    <n v="23986"/>
    <x v="0"/>
    <x v="0"/>
    <n v="20000"/>
    <n v="1"/>
    <x v="0"/>
    <x v="1"/>
    <x v="0"/>
    <x v="0"/>
    <x v="0"/>
    <x v="0"/>
    <n v="66"/>
    <x v="3"/>
    <x v="1"/>
  </r>
  <r>
    <n v="24466"/>
    <x v="0"/>
    <x v="0"/>
    <n v="60000"/>
    <n v="1"/>
    <x v="1"/>
    <x v="0"/>
    <x v="0"/>
    <x v="1"/>
    <x v="2"/>
    <x v="1"/>
    <n v="46"/>
    <x v="1"/>
    <x v="1"/>
  </r>
  <r>
    <n v="29097"/>
    <x v="1"/>
    <x v="0"/>
    <n v="40000"/>
    <n v="2"/>
    <x v="1"/>
    <x v="0"/>
    <x v="0"/>
    <x v="2"/>
    <x v="2"/>
    <x v="1"/>
    <n v="52"/>
    <x v="1"/>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2"/>
    <x v="0"/>
  </r>
  <r>
    <n v="12558"/>
    <x v="0"/>
    <x v="0"/>
    <n v="20000"/>
    <n v="1"/>
    <x v="0"/>
    <x v="1"/>
    <x v="0"/>
    <x v="0"/>
    <x v="0"/>
    <x v="0"/>
    <n v="65"/>
    <x v="3"/>
    <x v="0"/>
  </r>
  <r>
    <n v="24871"/>
    <x v="1"/>
    <x v="0"/>
    <n v="90000"/>
    <n v="4"/>
    <x v="2"/>
    <x v="4"/>
    <x v="1"/>
    <x v="4"/>
    <x v="2"/>
    <x v="0"/>
    <n v="56"/>
    <x v="1"/>
    <x v="0"/>
  </r>
  <r>
    <n v="17319"/>
    <x v="1"/>
    <x v="0"/>
    <n v="70000"/>
    <n v="0"/>
    <x v="0"/>
    <x v="2"/>
    <x v="1"/>
    <x v="1"/>
    <x v="2"/>
    <x v="1"/>
    <n v="42"/>
    <x v="0"/>
    <x v="0"/>
  </r>
  <r>
    <n v="28906"/>
    <x v="0"/>
    <x v="1"/>
    <n v="80000"/>
    <n v="4"/>
    <x v="2"/>
    <x v="2"/>
    <x v="0"/>
    <x v="2"/>
    <x v="4"/>
    <x v="0"/>
    <n v="54"/>
    <x v="1"/>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1"/>
    <x v="0"/>
  </r>
  <r>
    <n v="19291"/>
    <x v="1"/>
    <x v="0"/>
    <n v="10000"/>
    <n v="2"/>
    <x v="2"/>
    <x v="3"/>
    <x v="0"/>
    <x v="0"/>
    <x v="0"/>
    <x v="0"/>
    <n v="35"/>
    <x v="2"/>
    <x v="0"/>
  </r>
  <r>
    <n v="16713"/>
    <x v="0"/>
    <x v="1"/>
    <n v="40000"/>
    <n v="2"/>
    <x v="0"/>
    <x v="4"/>
    <x v="0"/>
    <x v="1"/>
    <x v="0"/>
    <x v="1"/>
    <n v="52"/>
    <x v="1"/>
    <x v="1"/>
  </r>
  <r>
    <n v="16185"/>
    <x v="1"/>
    <x v="1"/>
    <n v="60000"/>
    <n v="4"/>
    <x v="0"/>
    <x v="2"/>
    <x v="0"/>
    <x v="4"/>
    <x v="4"/>
    <x v="1"/>
    <n v="41"/>
    <x v="0"/>
    <x v="0"/>
  </r>
  <r>
    <n v="14927"/>
    <x v="0"/>
    <x v="0"/>
    <n v="30000"/>
    <n v="1"/>
    <x v="0"/>
    <x v="1"/>
    <x v="0"/>
    <x v="0"/>
    <x v="0"/>
    <x v="0"/>
    <n v="37"/>
    <x v="0"/>
    <x v="1"/>
  </r>
  <r>
    <n v="29337"/>
    <x v="1"/>
    <x v="1"/>
    <n v="30000"/>
    <n v="2"/>
    <x v="1"/>
    <x v="1"/>
    <x v="0"/>
    <x v="2"/>
    <x v="2"/>
    <x v="1"/>
    <n v="68"/>
    <x v="3"/>
    <x v="0"/>
  </r>
  <r>
    <n v="29355"/>
    <x v="0"/>
    <x v="0"/>
    <n v="40000"/>
    <n v="0"/>
    <x v="4"/>
    <x v="1"/>
    <x v="0"/>
    <x v="0"/>
    <x v="0"/>
    <x v="0"/>
    <n v="37"/>
    <x v="0"/>
    <x v="1"/>
  </r>
  <r>
    <n v="25303"/>
    <x v="1"/>
    <x v="1"/>
    <n v="30000"/>
    <n v="0"/>
    <x v="2"/>
    <x v="3"/>
    <x v="0"/>
    <x v="1"/>
    <x v="1"/>
    <x v="0"/>
    <n v="33"/>
    <x v="2"/>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2"/>
    <x v="0"/>
  </r>
  <r>
    <n v="24857"/>
    <x v="0"/>
    <x v="0"/>
    <n v="130000"/>
    <n v="3"/>
    <x v="2"/>
    <x v="2"/>
    <x v="0"/>
    <x v="3"/>
    <x v="0"/>
    <x v="0"/>
    <n v="52"/>
    <x v="1"/>
    <x v="0"/>
  </r>
  <r>
    <n v="26956"/>
    <x v="1"/>
    <x v="0"/>
    <n v="20000"/>
    <n v="0"/>
    <x v="1"/>
    <x v="3"/>
    <x v="1"/>
    <x v="1"/>
    <x v="1"/>
    <x v="0"/>
    <n v="36"/>
    <x v="0"/>
    <x v="1"/>
  </r>
  <r>
    <n v="14517"/>
    <x v="0"/>
    <x v="0"/>
    <n v="20000"/>
    <n v="3"/>
    <x v="2"/>
    <x v="0"/>
    <x v="1"/>
    <x v="2"/>
    <x v="3"/>
    <x v="1"/>
    <n v="62"/>
    <x v="1"/>
    <x v="0"/>
  </r>
  <r>
    <n v="12678"/>
    <x v="1"/>
    <x v="0"/>
    <n v="130000"/>
    <n v="4"/>
    <x v="2"/>
    <x v="4"/>
    <x v="0"/>
    <x v="3"/>
    <x v="0"/>
    <x v="1"/>
    <n v="31"/>
    <x v="2"/>
    <x v="0"/>
  </r>
  <r>
    <n v="16188"/>
    <x v="1"/>
    <x v="0"/>
    <n v="20000"/>
    <n v="0"/>
    <x v="3"/>
    <x v="3"/>
    <x v="1"/>
    <x v="2"/>
    <x v="3"/>
    <x v="0"/>
    <n v="26"/>
    <x v="2"/>
    <x v="0"/>
  </r>
  <r>
    <n v="27969"/>
    <x v="0"/>
    <x v="1"/>
    <n v="80000"/>
    <n v="0"/>
    <x v="0"/>
    <x v="2"/>
    <x v="0"/>
    <x v="2"/>
    <x v="4"/>
    <x v="1"/>
    <n v="29"/>
    <x v="2"/>
    <x v="1"/>
  </r>
  <r>
    <n v="15752"/>
    <x v="0"/>
    <x v="1"/>
    <n v="80000"/>
    <n v="2"/>
    <x v="2"/>
    <x v="0"/>
    <x v="1"/>
    <x v="2"/>
    <x v="3"/>
    <x v="1"/>
    <n v="50"/>
    <x v="1"/>
    <x v="1"/>
  </r>
  <r>
    <n v="27745"/>
    <x v="1"/>
    <x v="1"/>
    <n v="40000"/>
    <n v="2"/>
    <x v="0"/>
    <x v="4"/>
    <x v="0"/>
    <x v="2"/>
    <x v="2"/>
    <x v="1"/>
    <n v="63"/>
    <x v="1"/>
    <x v="1"/>
  </r>
  <r>
    <n v="20828"/>
    <x v="0"/>
    <x v="0"/>
    <n v="30000"/>
    <n v="4"/>
    <x v="4"/>
    <x v="1"/>
    <x v="0"/>
    <x v="0"/>
    <x v="0"/>
    <x v="0"/>
    <n v="45"/>
    <x v="1"/>
    <x v="1"/>
  </r>
  <r>
    <n v="19461"/>
    <x v="1"/>
    <x v="0"/>
    <n v="10000"/>
    <n v="4"/>
    <x v="3"/>
    <x v="3"/>
    <x v="0"/>
    <x v="2"/>
    <x v="0"/>
    <x v="0"/>
    <n v="40"/>
    <x v="0"/>
    <x v="0"/>
  </r>
  <r>
    <n v="26941"/>
    <x v="0"/>
    <x v="1"/>
    <n v="30000"/>
    <n v="0"/>
    <x v="0"/>
    <x v="1"/>
    <x v="0"/>
    <x v="0"/>
    <x v="0"/>
    <x v="0"/>
    <n v="47"/>
    <x v="1"/>
    <x v="1"/>
  </r>
  <r>
    <n v="28412"/>
    <x v="1"/>
    <x v="1"/>
    <n v="20000"/>
    <n v="0"/>
    <x v="2"/>
    <x v="3"/>
    <x v="1"/>
    <x v="1"/>
    <x v="1"/>
    <x v="0"/>
    <n v="29"/>
    <x v="2"/>
    <x v="0"/>
  </r>
  <r>
    <n v="24485"/>
    <x v="1"/>
    <x v="1"/>
    <n v="40000"/>
    <n v="2"/>
    <x v="0"/>
    <x v="4"/>
    <x v="1"/>
    <x v="1"/>
    <x v="2"/>
    <x v="1"/>
    <n v="52"/>
    <x v="1"/>
    <x v="1"/>
  </r>
  <r>
    <n v="16514"/>
    <x v="1"/>
    <x v="1"/>
    <n v="10000"/>
    <n v="0"/>
    <x v="1"/>
    <x v="3"/>
    <x v="0"/>
    <x v="1"/>
    <x v="3"/>
    <x v="1"/>
    <n v="26"/>
    <x v="2"/>
    <x v="1"/>
  </r>
  <r>
    <n v="17191"/>
    <x v="1"/>
    <x v="1"/>
    <n v="130000"/>
    <n v="3"/>
    <x v="1"/>
    <x v="2"/>
    <x v="1"/>
    <x v="4"/>
    <x v="0"/>
    <x v="0"/>
    <n v="51"/>
    <x v="1"/>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2"/>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2"/>
    <x v="0"/>
  </r>
  <r>
    <n v="20236"/>
    <x v="1"/>
    <x v="1"/>
    <n v="60000"/>
    <n v="3"/>
    <x v="0"/>
    <x v="2"/>
    <x v="1"/>
    <x v="2"/>
    <x v="0"/>
    <x v="1"/>
    <n v="43"/>
    <x v="0"/>
    <x v="1"/>
  </r>
  <r>
    <n v="24149"/>
    <x v="0"/>
    <x v="1"/>
    <n v="10000"/>
    <n v="2"/>
    <x v="1"/>
    <x v="3"/>
    <x v="0"/>
    <x v="0"/>
    <x v="3"/>
    <x v="0"/>
    <n v="49"/>
    <x v="1"/>
    <x v="0"/>
  </r>
  <r>
    <n v="26139"/>
    <x v="1"/>
    <x v="1"/>
    <n v="60000"/>
    <n v="1"/>
    <x v="1"/>
    <x v="0"/>
    <x v="0"/>
    <x v="1"/>
    <x v="2"/>
    <x v="1"/>
    <n v="45"/>
    <x v="1"/>
    <x v="0"/>
  </r>
  <r>
    <n v="18491"/>
    <x v="1"/>
    <x v="0"/>
    <n v="70000"/>
    <n v="2"/>
    <x v="2"/>
    <x v="2"/>
    <x v="0"/>
    <x v="2"/>
    <x v="2"/>
    <x v="1"/>
    <n v="49"/>
    <x v="1"/>
    <x v="1"/>
  </r>
  <r>
    <n v="22707"/>
    <x v="1"/>
    <x v="0"/>
    <n v="30000"/>
    <n v="0"/>
    <x v="1"/>
    <x v="1"/>
    <x v="1"/>
    <x v="1"/>
    <x v="1"/>
    <x v="0"/>
    <n v="30"/>
    <x v="2"/>
    <x v="0"/>
  </r>
  <r>
    <n v="20430"/>
    <x v="0"/>
    <x v="1"/>
    <n v="70000"/>
    <n v="2"/>
    <x v="1"/>
    <x v="0"/>
    <x v="0"/>
    <x v="2"/>
    <x v="2"/>
    <x v="1"/>
    <n v="52"/>
    <x v="1"/>
    <x v="1"/>
  </r>
  <r>
    <n v="27494"/>
    <x v="1"/>
    <x v="0"/>
    <n v="40000"/>
    <n v="2"/>
    <x v="1"/>
    <x v="0"/>
    <x v="1"/>
    <x v="2"/>
    <x v="3"/>
    <x v="1"/>
    <n v="53"/>
    <x v="1"/>
    <x v="1"/>
  </r>
  <r>
    <n v="26829"/>
    <x v="0"/>
    <x v="0"/>
    <n v="40000"/>
    <n v="0"/>
    <x v="0"/>
    <x v="1"/>
    <x v="0"/>
    <x v="0"/>
    <x v="0"/>
    <x v="0"/>
    <n v="38"/>
    <x v="0"/>
    <x v="1"/>
  </r>
  <r>
    <n v="28395"/>
    <x v="1"/>
    <x v="1"/>
    <n v="40000"/>
    <n v="0"/>
    <x v="0"/>
    <x v="2"/>
    <x v="1"/>
    <x v="0"/>
    <x v="0"/>
    <x v="0"/>
    <n v="39"/>
    <x v="0"/>
    <x v="1"/>
  </r>
  <r>
    <n v="21006"/>
    <x v="1"/>
    <x v="0"/>
    <n v="30000"/>
    <n v="1"/>
    <x v="1"/>
    <x v="3"/>
    <x v="1"/>
    <x v="0"/>
    <x v="0"/>
    <x v="0"/>
    <n v="46"/>
    <x v="1"/>
    <x v="1"/>
  </r>
  <r>
    <n v="14682"/>
    <x v="1"/>
    <x v="0"/>
    <n v="70000"/>
    <n v="0"/>
    <x v="0"/>
    <x v="2"/>
    <x v="1"/>
    <x v="1"/>
    <x v="2"/>
    <x v="1"/>
    <n v="38"/>
    <x v="0"/>
    <x v="0"/>
  </r>
  <r>
    <n v="17650"/>
    <x v="1"/>
    <x v="0"/>
    <n v="40000"/>
    <n v="2"/>
    <x v="1"/>
    <x v="1"/>
    <x v="0"/>
    <x v="2"/>
    <x v="3"/>
    <x v="0"/>
    <n v="35"/>
    <x v="2"/>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3"/>
    <x v="1"/>
  </r>
  <r>
    <n v="15922"/>
    <x v="0"/>
    <x v="1"/>
    <n v="150000"/>
    <n v="2"/>
    <x v="2"/>
    <x v="2"/>
    <x v="0"/>
    <x v="3"/>
    <x v="0"/>
    <x v="0"/>
    <n v="48"/>
    <x v="1"/>
    <x v="0"/>
  </r>
  <r>
    <n v="12344"/>
    <x v="1"/>
    <x v="0"/>
    <n v="80000"/>
    <n v="0"/>
    <x v="0"/>
    <x v="2"/>
    <x v="1"/>
    <x v="4"/>
    <x v="4"/>
    <x v="1"/>
    <n v="31"/>
    <x v="2"/>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2"/>
    <x v="0"/>
  </r>
  <r>
    <n v="12472"/>
    <x v="0"/>
    <x v="1"/>
    <n v="30000"/>
    <n v="1"/>
    <x v="0"/>
    <x v="1"/>
    <x v="0"/>
    <x v="1"/>
    <x v="1"/>
    <x v="0"/>
    <n v="39"/>
    <x v="0"/>
    <x v="0"/>
  </r>
  <r>
    <n v="20970"/>
    <x v="1"/>
    <x v="1"/>
    <n v="10000"/>
    <n v="2"/>
    <x v="1"/>
    <x v="3"/>
    <x v="0"/>
    <x v="1"/>
    <x v="0"/>
    <x v="0"/>
    <n v="52"/>
    <x v="1"/>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3"/>
    <x v="1"/>
  </r>
  <r>
    <n v="21094"/>
    <x v="1"/>
    <x v="0"/>
    <n v="30000"/>
    <n v="2"/>
    <x v="1"/>
    <x v="1"/>
    <x v="0"/>
    <x v="2"/>
    <x v="0"/>
    <x v="0"/>
    <n v="42"/>
    <x v="0"/>
    <x v="0"/>
  </r>
  <r>
    <n v="12234"/>
    <x v="0"/>
    <x v="1"/>
    <n v="10000"/>
    <n v="2"/>
    <x v="1"/>
    <x v="3"/>
    <x v="0"/>
    <x v="1"/>
    <x v="1"/>
    <x v="0"/>
    <n v="52"/>
    <x v="1"/>
    <x v="0"/>
  </r>
  <r>
    <n v="28683"/>
    <x v="1"/>
    <x v="0"/>
    <n v="10000"/>
    <n v="1"/>
    <x v="2"/>
    <x v="3"/>
    <x v="1"/>
    <x v="1"/>
    <x v="2"/>
    <x v="0"/>
    <n v="35"/>
    <x v="2"/>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2"/>
    <x v="0"/>
  </r>
  <r>
    <n v="20877"/>
    <x v="1"/>
    <x v="1"/>
    <n v="30000"/>
    <n v="1"/>
    <x v="0"/>
    <x v="1"/>
    <x v="0"/>
    <x v="0"/>
    <x v="3"/>
    <x v="0"/>
    <n v="37"/>
    <x v="0"/>
    <x v="1"/>
  </r>
  <r>
    <n v="20729"/>
    <x v="0"/>
    <x v="0"/>
    <n v="40000"/>
    <n v="2"/>
    <x v="1"/>
    <x v="1"/>
    <x v="1"/>
    <x v="1"/>
    <x v="0"/>
    <x v="0"/>
    <n v="34"/>
    <x v="2"/>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1"/>
    <x v="0"/>
  </r>
  <r>
    <n v="17845"/>
    <x v="1"/>
    <x v="0"/>
    <n v="20000"/>
    <n v="0"/>
    <x v="3"/>
    <x v="3"/>
    <x v="1"/>
    <x v="2"/>
    <x v="3"/>
    <x v="0"/>
    <n v="32"/>
    <x v="2"/>
    <x v="0"/>
  </r>
  <r>
    <n v="25058"/>
    <x v="0"/>
    <x v="1"/>
    <n v="100000"/>
    <n v="1"/>
    <x v="0"/>
    <x v="4"/>
    <x v="0"/>
    <x v="4"/>
    <x v="1"/>
    <x v="1"/>
    <n v="47"/>
    <x v="1"/>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1"/>
    <x v="0"/>
  </r>
  <r>
    <n v="25605"/>
    <x v="1"/>
    <x v="0"/>
    <n v="20000"/>
    <n v="2"/>
    <x v="1"/>
    <x v="3"/>
    <x v="1"/>
    <x v="1"/>
    <x v="0"/>
    <x v="0"/>
    <n v="54"/>
    <x v="1"/>
    <x v="1"/>
  </r>
  <r>
    <n v="20797"/>
    <x v="0"/>
    <x v="0"/>
    <n v="10000"/>
    <n v="1"/>
    <x v="0"/>
    <x v="3"/>
    <x v="0"/>
    <x v="0"/>
    <x v="0"/>
    <x v="0"/>
    <n v="48"/>
    <x v="1"/>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1"/>
    <x v="0"/>
  </r>
  <r>
    <n v="22402"/>
    <x v="0"/>
    <x v="1"/>
    <n v="10000"/>
    <n v="0"/>
    <x v="1"/>
    <x v="3"/>
    <x v="0"/>
    <x v="1"/>
    <x v="1"/>
    <x v="1"/>
    <n v="25"/>
    <x v="2"/>
    <x v="1"/>
  </r>
  <r>
    <n v="15465"/>
    <x v="0"/>
    <x v="0"/>
    <n v="10000"/>
    <n v="0"/>
    <x v="1"/>
    <x v="3"/>
    <x v="1"/>
    <x v="1"/>
    <x v="0"/>
    <x v="1"/>
    <n v="25"/>
    <x v="2"/>
    <x v="0"/>
  </r>
  <r>
    <n v="26757"/>
    <x v="1"/>
    <x v="1"/>
    <n v="90000"/>
    <n v="1"/>
    <x v="0"/>
    <x v="2"/>
    <x v="0"/>
    <x v="1"/>
    <x v="1"/>
    <x v="1"/>
    <n v="47"/>
    <x v="1"/>
    <x v="1"/>
  </r>
  <r>
    <n v="14233"/>
    <x v="1"/>
    <x v="1"/>
    <n v="100000"/>
    <n v="0"/>
    <x v="2"/>
    <x v="4"/>
    <x v="0"/>
    <x v="4"/>
    <x v="4"/>
    <x v="1"/>
    <n v="35"/>
    <x v="2"/>
    <x v="0"/>
  </r>
  <r>
    <n v="14058"/>
    <x v="1"/>
    <x v="1"/>
    <n v="70000"/>
    <n v="0"/>
    <x v="0"/>
    <x v="2"/>
    <x v="1"/>
    <x v="1"/>
    <x v="2"/>
    <x v="1"/>
    <n v="41"/>
    <x v="0"/>
    <x v="1"/>
  </r>
  <r>
    <n v="12273"/>
    <x v="0"/>
    <x v="1"/>
    <n v="30000"/>
    <n v="1"/>
    <x v="0"/>
    <x v="1"/>
    <x v="0"/>
    <x v="0"/>
    <x v="0"/>
    <x v="0"/>
    <n v="47"/>
    <x v="1"/>
    <x v="0"/>
  </r>
  <r>
    <n v="17203"/>
    <x v="0"/>
    <x v="0"/>
    <n v="130000"/>
    <n v="4"/>
    <x v="1"/>
    <x v="2"/>
    <x v="0"/>
    <x v="3"/>
    <x v="2"/>
    <x v="0"/>
    <n v="61"/>
    <x v="1"/>
    <x v="1"/>
  </r>
  <r>
    <n v="18144"/>
    <x v="0"/>
    <x v="0"/>
    <n v="80000"/>
    <n v="5"/>
    <x v="0"/>
    <x v="4"/>
    <x v="0"/>
    <x v="2"/>
    <x v="1"/>
    <x v="0"/>
    <n v="61"/>
    <x v="1"/>
    <x v="0"/>
  </r>
  <r>
    <n v="23963"/>
    <x v="0"/>
    <x v="1"/>
    <n v="10000"/>
    <n v="0"/>
    <x v="3"/>
    <x v="3"/>
    <x v="1"/>
    <x v="2"/>
    <x v="0"/>
    <x v="0"/>
    <n v="33"/>
    <x v="2"/>
    <x v="0"/>
  </r>
  <r>
    <n v="17907"/>
    <x v="0"/>
    <x v="0"/>
    <n v="10000"/>
    <n v="0"/>
    <x v="1"/>
    <x v="3"/>
    <x v="0"/>
    <x v="1"/>
    <x v="1"/>
    <x v="1"/>
    <n v="27"/>
    <x v="2"/>
    <x v="0"/>
  </r>
  <r>
    <n v="19442"/>
    <x v="1"/>
    <x v="1"/>
    <n v="50000"/>
    <n v="0"/>
    <x v="4"/>
    <x v="0"/>
    <x v="0"/>
    <x v="0"/>
    <x v="0"/>
    <x v="0"/>
    <n v="37"/>
    <x v="0"/>
    <x v="1"/>
  </r>
  <r>
    <n v="17504"/>
    <x v="1"/>
    <x v="0"/>
    <n v="80000"/>
    <n v="2"/>
    <x v="1"/>
    <x v="0"/>
    <x v="0"/>
    <x v="2"/>
    <x v="2"/>
    <x v="1"/>
    <n v="52"/>
    <x v="1"/>
    <x v="1"/>
  </r>
  <r>
    <n v="12253"/>
    <x v="1"/>
    <x v="0"/>
    <n v="20000"/>
    <n v="0"/>
    <x v="1"/>
    <x v="3"/>
    <x v="0"/>
    <x v="0"/>
    <x v="0"/>
    <x v="1"/>
    <n v="29"/>
    <x v="2"/>
    <x v="1"/>
  </r>
  <r>
    <n v="27304"/>
    <x v="1"/>
    <x v="0"/>
    <n v="110000"/>
    <n v="2"/>
    <x v="1"/>
    <x v="2"/>
    <x v="1"/>
    <x v="4"/>
    <x v="2"/>
    <x v="0"/>
    <n v="48"/>
    <x v="1"/>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3"/>
    <x v="1"/>
  </r>
  <r>
    <n v="28918"/>
    <x v="0"/>
    <x v="0"/>
    <n v="130000"/>
    <n v="4"/>
    <x v="2"/>
    <x v="4"/>
    <x v="1"/>
    <x v="3"/>
    <x v="4"/>
    <x v="0"/>
    <n v="58"/>
    <x v="1"/>
    <x v="0"/>
  </r>
  <r>
    <n v="15799"/>
    <x v="0"/>
    <x v="0"/>
    <n v="90000"/>
    <n v="1"/>
    <x v="0"/>
    <x v="2"/>
    <x v="0"/>
    <x v="1"/>
    <x v="1"/>
    <x v="1"/>
    <n v="47"/>
    <x v="1"/>
    <x v="1"/>
  </r>
  <r>
    <n v="11047"/>
    <x v="0"/>
    <x v="0"/>
    <n v="30000"/>
    <n v="3"/>
    <x v="2"/>
    <x v="0"/>
    <x v="1"/>
    <x v="2"/>
    <x v="3"/>
    <x v="1"/>
    <n v="56"/>
    <x v="1"/>
    <x v="1"/>
  </r>
  <r>
    <n v="18151"/>
    <x v="1"/>
    <x v="1"/>
    <n v="80000"/>
    <n v="5"/>
    <x v="1"/>
    <x v="2"/>
    <x v="1"/>
    <x v="2"/>
    <x v="4"/>
    <x v="0"/>
    <n v="59"/>
    <x v="1"/>
    <x v="0"/>
  </r>
  <r>
    <n v="20606"/>
    <x v="0"/>
    <x v="0"/>
    <n v="70000"/>
    <n v="0"/>
    <x v="0"/>
    <x v="2"/>
    <x v="0"/>
    <x v="3"/>
    <x v="4"/>
    <x v="1"/>
    <n v="32"/>
    <x v="2"/>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2"/>
    <x v="0"/>
  </r>
  <r>
    <n v="25559"/>
    <x v="1"/>
    <x v="1"/>
    <n v="20000"/>
    <n v="0"/>
    <x v="0"/>
    <x v="1"/>
    <x v="0"/>
    <x v="0"/>
    <x v="0"/>
    <x v="1"/>
    <n v="25"/>
    <x v="2"/>
    <x v="1"/>
  </r>
  <r>
    <n v="16209"/>
    <x v="1"/>
    <x v="0"/>
    <n v="50000"/>
    <n v="0"/>
    <x v="4"/>
    <x v="0"/>
    <x v="0"/>
    <x v="0"/>
    <x v="3"/>
    <x v="0"/>
    <n v="36"/>
    <x v="0"/>
    <x v="0"/>
  </r>
  <r>
    <n v="11147"/>
    <x v="0"/>
    <x v="1"/>
    <n v="60000"/>
    <n v="2"/>
    <x v="4"/>
    <x v="4"/>
    <x v="0"/>
    <x v="1"/>
    <x v="0"/>
    <x v="1"/>
    <n v="67"/>
    <x v="3"/>
    <x v="1"/>
  </r>
  <r>
    <n v="15214"/>
    <x v="1"/>
    <x v="0"/>
    <n v="100000"/>
    <n v="0"/>
    <x v="4"/>
    <x v="4"/>
    <x v="1"/>
    <x v="1"/>
    <x v="3"/>
    <x v="1"/>
    <n v="39"/>
    <x v="0"/>
    <x v="1"/>
  </r>
  <r>
    <n v="11453"/>
    <x v="1"/>
    <x v="1"/>
    <n v="80000"/>
    <n v="0"/>
    <x v="0"/>
    <x v="2"/>
    <x v="1"/>
    <x v="4"/>
    <x v="4"/>
    <x v="1"/>
    <n v="33"/>
    <x v="2"/>
    <x v="1"/>
  </r>
  <r>
    <n v="24584"/>
    <x v="1"/>
    <x v="1"/>
    <n v="60000"/>
    <n v="0"/>
    <x v="0"/>
    <x v="2"/>
    <x v="1"/>
    <x v="4"/>
    <x v="1"/>
    <x v="1"/>
    <n v="31"/>
    <x v="2"/>
    <x v="0"/>
  </r>
  <r>
    <n v="12585"/>
    <x v="0"/>
    <x v="1"/>
    <n v="10000"/>
    <n v="1"/>
    <x v="2"/>
    <x v="3"/>
    <x v="0"/>
    <x v="0"/>
    <x v="1"/>
    <x v="1"/>
    <n v="27"/>
    <x v="2"/>
    <x v="1"/>
  </r>
  <r>
    <n v="18626"/>
    <x v="1"/>
    <x v="1"/>
    <n v="40000"/>
    <n v="2"/>
    <x v="1"/>
    <x v="1"/>
    <x v="0"/>
    <x v="0"/>
    <x v="3"/>
    <x v="0"/>
    <n v="33"/>
    <x v="2"/>
    <x v="1"/>
  </r>
  <r>
    <n v="29298"/>
    <x v="1"/>
    <x v="0"/>
    <n v="60000"/>
    <n v="1"/>
    <x v="1"/>
    <x v="0"/>
    <x v="0"/>
    <x v="1"/>
    <x v="2"/>
    <x v="1"/>
    <n v="46"/>
    <x v="1"/>
    <x v="1"/>
  </r>
  <r>
    <n v="24842"/>
    <x v="1"/>
    <x v="0"/>
    <n v="90000"/>
    <n v="3"/>
    <x v="2"/>
    <x v="2"/>
    <x v="1"/>
    <x v="1"/>
    <x v="1"/>
    <x v="0"/>
    <n v="51"/>
    <x v="1"/>
    <x v="0"/>
  </r>
  <r>
    <n v="15657"/>
    <x v="0"/>
    <x v="1"/>
    <n v="30000"/>
    <n v="3"/>
    <x v="4"/>
    <x v="1"/>
    <x v="0"/>
    <x v="0"/>
    <x v="0"/>
    <x v="0"/>
    <n v="46"/>
    <x v="1"/>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2"/>
    <x v="1"/>
  </r>
  <r>
    <n v="25553"/>
    <x v="0"/>
    <x v="1"/>
    <n v="30000"/>
    <n v="1"/>
    <x v="0"/>
    <x v="1"/>
    <x v="0"/>
    <x v="0"/>
    <x v="0"/>
    <x v="0"/>
    <n v="65"/>
    <x v="3"/>
    <x v="1"/>
  </r>
  <r>
    <n v="27951"/>
    <x v="1"/>
    <x v="1"/>
    <n v="80000"/>
    <n v="4"/>
    <x v="1"/>
    <x v="2"/>
    <x v="1"/>
    <x v="2"/>
    <x v="1"/>
    <x v="0"/>
    <n v="54"/>
    <x v="1"/>
    <x v="1"/>
  </r>
  <r>
    <n v="25026"/>
    <x v="0"/>
    <x v="1"/>
    <n v="20000"/>
    <n v="2"/>
    <x v="3"/>
    <x v="1"/>
    <x v="0"/>
    <x v="4"/>
    <x v="2"/>
    <x v="1"/>
    <n v="54"/>
    <x v="1"/>
    <x v="0"/>
  </r>
  <r>
    <n v="13673"/>
    <x v="1"/>
    <x v="0"/>
    <n v="20000"/>
    <n v="0"/>
    <x v="3"/>
    <x v="3"/>
    <x v="1"/>
    <x v="2"/>
    <x v="0"/>
    <x v="0"/>
    <n v="25"/>
    <x v="2"/>
    <x v="0"/>
  </r>
  <r>
    <n v="16043"/>
    <x v="1"/>
    <x v="1"/>
    <n v="10000"/>
    <n v="1"/>
    <x v="0"/>
    <x v="3"/>
    <x v="0"/>
    <x v="0"/>
    <x v="0"/>
    <x v="0"/>
    <n v="48"/>
    <x v="1"/>
    <x v="0"/>
  </r>
  <r>
    <n v="22399"/>
    <x v="1"/>
    <x v="1"/>
    <n v="10000"/>
    <n v="0"/>
    <x v="1"/>
    <x v="3"/>
    <x v="0"/>
    <x v="1"/>
    <x v="3"/>
    <x v="1"/>
    <n v="26"/>
    <x v="2"/>
    <x v="1"/>
  </r>
  <r>
    <n v="27696"/>
    <x v="0"/>
    <x v="1"/>
    <n v="60000"/>
    <n v="1"/>
    <x v="0"/>
    <x v="2"/>
    <x v="0"/>
    <x v="1"/>
    <x v="2"/>
    <x v="1"/>
    <n v="43"/>
    <x v="0"/>
    <x v="1"/>
  </r>
  <r>
    <n v="25313"/>
    <x v="1"/>
    <x v="1"/>
    <n v="10000"/>
    <n v="0"/>
    <x v="3"/>
    <x v="3"/>
    <x v="1"/>
    <x v="2"/>
    <x v="3"/>
    <x v="0"/>
    <n v="35"/>
    <x v="2"/>
    <x v="0"/>
  </r>
  <r>
    <n v="13813"/>
    <x v="0"/>
    <x v="0"/>
    <n v="30000"/>
    <n v="3"/>
    <x v="1"/>
    <x v="1"/>
    <x v="1"/>
    <x v="0"/>
    <x v="0"/>
    <x v="0"/>
    <n v="42"/>
    <x v="0"/>
    <x v="0"/>
  </r>
  <r>
    <n v="18711"/>
    <x v="1"/>
    <x v="0"/>
    <n v="70000"/>
    <n v="5"/>
    <x v="0"/>
    <x v="2"/>
    <x v="0"/>
    <x v="3"/>
    <x v="4"/>
    <x v="1"/>
    <n v="39"/>
    <x v="0"/>
    <x v="0"/>
  </r>
  <r>
    <n v="19650"/>
    <x v="0"/>
    <x v="0"/>
    <n v="30000"/>
    <n v="2"/>
    <x v="1"/>
    <x v="1"/>
    <x v="1"/>
    <x v="2"/>
    <x v="0"/>
    <x v="1"/>
    <n v="67"/>
    <x v="3"/>
    <x v="0"/>
  </r>
  <r>
    <n v="14135"/>
    <x v="0"/>
    <x v="1"/>
    <n v="20000"/>
    <n v="1"/>
    <x v="1"/>
    <x v="3"/>
    <x v="0"/>
    <x v="0"/>
    <x v="3"/>
    <x v="0"/>
    <n v="35"/>
    <x v="2"/>
    <x v="0"/>
  </r>
  <r>
    <n v="12833"/>
    <x v="1"/>
    <x v="0"/>
    <n v="20000"/>
    <n v="3"/>
    <x v="2"/>
    <x v="3"/>
    <x v="0"/>
    <x v="1"/>
    <x v="0"/>
    <x v="0"/>
    <n v="42"/>
    <x v="0"/>
    <x v="1"/>
  </r>
  <r>
    <n v="26849"/>
    <x v="0"/>
    <x v="1"/>
    <n v="10000"/>
    <n v="3"/>
    <x v="3"/>
    <x v="3"/>
    <x v="0"/>
    <x v="2"/>
    <x v="0"/>
    <x v="0"/>
    <n v="43"/>
    <x v="0"/>
    <x v="0"/>
  </r>
  <r>
    <n v="20962"/>
    <x v="0"/>
    <x v="0"/>
    <n v="20000"/>
    <n v="1"/>
    <x v="4"/>
    <x v="1"/>
    <x v="0"/>
    <x v="0"/>
    <x v="0"/>
    <x v="0"/>
    <n v="45"/>
    <x v="1"/>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1"/>
    <x v="0"/>
  </r>
  <r>
    <n v="24174"/>
    <x v="0"/>
    <x v="1"/>
    <n v="20000"/>
    <n v="0"/>
    <x v="0"/>
    <x v="1"/>
    <x v="0"/>
    <x v="0"/>
    <x v="0"/>
    <x v="1"/>
    <n v="27"/>
    <x v="2"/>
    <x v="1"/>
  </r>
  <r>
    <n v="24611"/>
    <x v="1"/>
    <x v="1"/>
    <n v="90000"/>
    <n v="0"/>
    <x v="0"/>
    <x v="2"/>
    <x v="1"/>
    <x v="3"/>
    <x v="4"/>
    <x v="1"/>
    <n v="35"/>
    <x v="2"/>
    <x v="1"/>
  </r>
  <r>
    <n v="11340"/>
    <x v="0"/>
    <x v="0"/>
    <n v="10000"/>
    <n v="1"/>
    <x v="4"/>
    <x v="1"/>
    <x v="0"/>
    <x v="0"/>
    <x v="0"/>
    <x v="0"/>
    <n v="70"/>
    <x v="3"/>
    <x v="1"/>
  </r>
  <r>
    <n v="25693"/>
    <x v="1"/>
    <x v="0"/>
    <n v="30000"/>
    <n v="5"/>
    <x v="4"/>
    <x v="1"/>
    <x v="0"/>
    <x v="0"/>
    <x v="0"/>
    <x v="0"/>
    <n v="44"/>
    <x v="0"/>
    <x v="1"/>
  </r>
  <r>
    <n v="25555"/>
    <x v="0"/>
    <x v="0"/>
    <n v="10000"/>
    <n v="0"/>
    <x v="1"/>
    <x v="3"/>
    <x v="1"/>
    <x v="1"/>
    <x v="0"/>
    <x v="1"/>
    <n v="26"/>
    <x v="2"/>
    <x v="1"/>
  </r>
  <r>
    <n v="22006"/>
    <x v="0"/>
    <x v="1"/>
    <n v="70000"/>
    <n v="5"/>
    <x v="1"/>
    <x v="0"/>
    <x v="0"/>
    <x v="4"/>
    <x v="2"/>
    <x v="1"/>
    <n v="46"/>
    <x v="1"/>
    <x v="0"/>
  </r>
  <r>
    <n v="20060"/>
    <x v="1"/>
    <x v="0"/>
    <n v="30000"/>
    <n v="0"/>
    <x v="2"/>
    <x v="3"/>
    <x v="1"/>
    <x v="1"/>
    <x v="1"/>
    <x v="0"/>
    <n v="34"/>
    <x v="2"/>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1"/>
    <x v="1"/>
  </r>
  <r>
    <n v="18494"/>
    <x v="0"/>
    <x v="1"/>
    <n v="110000"/>
    <n v="5"/>
    <x v="0"/>
    <x v="4"/>
    <x v="0"/>
    <x v="3"/>
    <x v="1"/>
    <x v="1"/>
    <n v="48"/>
    <x v="1"/>
    <x v="1"/>
  </r>
  <r>
    <n v="11249"/>
    <x v="0"/>
    <x v="0"/>
    <n v="130000"/>
    <n v="3"/>
    <x v="1"/>
    <x v="2"/>
    <x v="0"/>
    <x v="4"/>
    <x v="0"/>
    <x v="0"/>
    <n v="51"/>
    <x v="1"/>
    <x v="1"/>
  </r>
  <r>
    <n v="21568"/>
    <x v="0"/>
    <x v="0"/>
    <n v="100000"/>
    <n v="0"/>
    <x v="2"/>
    <x v="4"/>
    <x v="0"/>
    <x v="3"/>
    <x v="4"/>
    <x v="1"/>
    <n v="34"/>
    <x v="2"/>
    <x v="1"/>
  </r>
  <r>
    <n v="13981"/>
    <x v="0"/>
    <x v="0"/>
    <n v="10000"/>
    <n v="5"/>
    <x v="2"/>
    <x v="0"/>
    <x v="1"/>
    <x v="4"/>
    <x v="3"/>
    <x v="1"/>
    <n v="62"/>
    <x v="1"/>
    <x v="0"/>
  </r>
  <r>
    <n v="23432"/>
    <x v="1"/>
    <x v="1"/>
    <n v="70000"/>
    <n v="0"/>
    <x v="0"/>
    <x v="2"/>
    <x v="0"/>
    <x v="1"/>
    <x v="2"/>
    <x v="1"/>
    <n v="37"/>
    <x v="0"/>
    <x v="1"/>
  </r>
  <r>
    <n v="22931"/>
    <x v="0"/>
    <x v="1"/>
    <n v="100000"/>
    <n v="5"/>
    <x v="4"/>
    <x v="4"/>
    <x v="1"/>
    <x v="1"/>
    <x v="3"/>
    <x v="1"/>
    <n v="78"/>
    <x v="3"/>
    <x v="1"/>
  </r>
  <r>
    <n v="18172"/>
    <x v="0"/>
    <x v="1"/>
    <n v="130000"/>
    <n v="4"/>
    <x v="2"/>
    <x v="2"/>
    <x v="0"/>
    <x v="4"/>
    <x v="0"/>
    <x v="0"/>
    <n v="55"/>
    <x v="1"/>
    <x v="0"/>
  </r>
  <r>
    <n v="12666"/>
    <x v="1"/>
    <x v="1"/>
    <n v="60000"/>
    <n v="0"/>
    <x v="0"/>
    <x v="2"/>
    <x v="1"/>
    <x v="3"/>
    <x v="1"/>
    <x v="1"/>
    <n v="31"/>
    <x v="2"/>
    <x v="0"/>
  </r>
  <r>
    <n v="20598"/>
    <x v="0"/>
    <x v="1"/>
    <n v="100000"/>
    <n v="3"/>
    <x v="3"/>
    <x v="2"/>
    <x v="0"/>
    <x v="0"/>
    <x v="4"/>
    <x v="0"/>
    <n v="59"/>
    <x v="1"/>
    <x v="1"/>
  </r>
  <r>
    <n v="21375"/>
    <x v="1"/>
    <x v="1"/>
    <n v="20000"/>
    <n v="2"/>
    <x v="3"/>
    <x v="1"/>
    <x v="0"/>
    <x v="2"/>
    <x v="2"/>
    <x v="1"/>
    <n v="57"/>
    <x v="1"/>
    <x v="0"/>
  </r>
  <r>
    <n v="20839"/>
    <x v="1"/>
    <x v="0"/>
    <n v="30000"/>
    <n v="3"/>
    <x v="4"/>
    <x v="1"/>
    <x v="0"/>
    <x v="0"/>
    <x v="0"/>
    <x v="0"/>
    <n v="47"/>
    <x v="1"/>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2"/>
    <x v="1"/>
  </r>
  <r>
    <n v="28468"/>
    <x v="0"/>
    <x v="0"/>
    <n v="10000"/>
    <n v="2"/>
    <x v="1"/>
    <x v="3"/>
    <x v="0"/>
    <x v="0"/>
    <x v="3"/>
    <x v="0"/>
    <n v="51"/>
    <x v="1"/>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1"/>
    <x v="1"/>
  </r>
  <r>
    <n v="19626"/>
    <x v="0"/>
    <x v="1"/>
    <n v="70000"/>
    <n v="5"/>
    <x v="1"/>
    <x v="0"/>
    <x v="0"/>
    <x v="4"/>
    <x v="2"/>
    <x v="1"/>
    <n v="45"/>
    <x v="1"/>
    <x v="0"/>
  </r>
  <r>
    <n v="21039"/>
    <x v="1"/>
    <x v="0"/>
    <n v="50000"/>
    <n v="0"/>
    <x v="4"/>
    <x v="0"/>
    <x v="1"/>
    <x v="0"/>
    <x v="0"/>
    <x v="0"/>
    <n v="37"/>
    <x v="0"/>
    <x v="1"/>
  </r>
  <r>
    <n v="12231"/>
    <x v="1"/>
    <x v="0"/>
    <n v="10000"/>
    <n v="2"/>
    <x v="1"/>
    <x v="3"/>
    <x v="0"/>
    <x v="0"/>
    <x v="0"/>
    <x v="0"/>
    <n v="51"/>
    <x v="1"/>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1"/>
    <x v="0"/>
  </r>
  <r>
    <n v="24201"/>
    <x v="0"/>
    <x v="0"/>
    <n v="10000"/>
    <n v="2"/>
    <x v="2"/>
    <x v="3"/>
    <x v="0"/>
    <x v="0"/>
    <x v="0"/>
    <x v="0"/>
    <n v="37"/>
    <x v="0"/>
    <x v="1"/>
  </r>
  <r>
    <n v="20625"/>
    <x v="0"/>
    <x v="1"/>
    <n v="100000"/>
    <n v="0"/>
    <x v="2"/>
    <x v="4"/>
    <x v="0"/>
    <x v="4"/>
    <x v="4"/>
    <x v="1"/>
    <n v="35"/>
    <x v="2"/>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2"/>
    <x v="0"/>
  </r>
  <r>
    <n v="22005"/>
    <x v="0"/>
    <x v="0"/>
    <n v="70000"/>
    <n v="5"/>
    <x v="1"/>
    <x v="0"/>
    <x v="1"/>
    <x v="4"/>
    <x v="2"/>
    <x v="1"/>
    <n v="46"/>
    <x v="1"/>
    <x v="0"/>
  </r>
  <r>
    <n v="14544"/>
    <x v="1"/>
    <x v="1"/>
    <n v="10000"/>
    <n v="1"/>
    <x v="1"/>
    <x v="3"/>
    <x v="0"/>
    <x v="0"/>
    <x v="0"/>
    <x v="0"/>
    <n v="49"/>
    <x v="1"/>
    <x v="0"/>
  </r>
  <r>
    <n v="14312"/>
    <x v="0"/>
    <x v="0"/>
    <n v="60000"/>
    <n v="1"/>
    <x v="1"/>
    <x v="0"/>
    <x v="0"/>
    <x v="1"/>
    <x v="2"/>
    <x v="1"/>
    <n v="45"/>
    <x v="1"/>
    <x v="0"/>
  </r>
  <r>
    <n v="29120"/>
    <x v="1"/>
    <x v="0"/>
    <n v="100000"/>
    <n v="1"/>
    <x v="0"/>
    <x v="4"/>
    <x v="0"/>
    <x v="3"/>
    <x v="1"/>
    <x v="1"/>
    <n v="48"/>
    <x v="1"/>
    <x v="0"/>
  </r>
  <r>
    <n v="24187"/>
    <x v="1"/>
    <x v="0"/>
    <n v="30000"/>
    <n v="3"/>
    <x v="4"/>
    <x v="1"/>
    <x v="1"/>
    <x v="0"/>
    <x v="0"/>
    <x v="0"/>
    <n v="46"/>
    <x v="1"/>
    <x v="1"/>
  </r>
  <r>
    <n v="15758"/>
    <x v="0"/>
    <x v="1"/>
    <n v="130000"/>
    <n v="0"/>
    <x v="4"/>
    <x v="4"/>
    <x v="0"/>
    <x v="0"/>
    <x v="2"/>
    <x v="1"/>
    <n v="48"/>
    <x v="1"/>
    <x v="0"/>
  </r>
  <r>
    <n v="29094"/>
    <x v="0"/>
    <x v="1"/>
    <n v="30000"/>
    <n v="3"/>
    <x v="2"/>
    <x v="0"/>
    <x v="0"/>
    <x v="2"/>
    <x v="2"/>
    <x v="1"/>
    <n v="54"/>
    <x v="1"/>
    <x v="1"/>
  </r>
  <r>
    <n v="28319"/>
    <x v="1"/>
    <x v="0"/>
    <n v="60000"/>
    <n v="1"/>
    <x v="1"/>
    <x v="0"/>
    <x v="1"/>
    <x v="1"/>
    <x v="0"/>
    <x v="1"/>
    <n v="46"/>
    <x v="1"/>
    <x v="1"/>
  </r>
  <r>
    <n v="16406"/>
    <x v="0"/>
    <x v="1"/>
    <n v="40000"/>
    <n v="0"/>
    <x v="0"/>
    <x v="1"/>
    <x v="1"/>
    <x v="0"/>
    <x v="0"/>
    <x v="0"/>
    <n v="38"/>
    <x v="0"/>
    <x v="1"/>
  </r>
  <r>
    <n v="20923"/>
    <x v="0"/>
    <x v="0"/>
    <n v="40000"/>
    <n v="1"/>
    <x v="0"/>
    <x v="0"/>
    <x v="0"/>
    <x v="0"/>
    <x v="0"/>
    <x v="0"/>
    <n v="42"/>
    <x v="0"/>
    <x v="1"/>
  </r>
  <r>
    <n v="11378"/>
    <x v="1"/>
    <x v="0"/>
    <n v="10000"/>
    <n v="1"/>
    <x v="2"/>
    <x v="3"/>
    <x v="1"/>
    <x v="1"/>
    <x v="1"/>
    <x v="0"/>
    <n v="46"/>
    <x v="1"/>
    <x v="1"/>
  </r>
  <r>
    <n v="20851"/>
    <x v="1"/>
    <x v="1"/>
    <n v="20000"/>
    <n v="0"/>
    <x v="1"/>
    <x v="3"/>
    <x v="1"/>
    <x v="1"/>
    <x v="1"/>
    <x v="0"/>
    <n v="36"/>
    <x v="0"/>
    <x v="1"/>
  </r>
  <r>
    <n v="21557"/>
    <x v="1"/>
    <x v="0"/>
    <n v="110000"/>
    <n v="0"/>
    <x v="1"/>
    <x v="4"/>
    <x v="0"/>
    <x v="4"/>
    <x v="4"/>
    <x v="1"/>
    <n v="32"/>
    <x v="2"/>
    <x v="1"/>
  </r>
  <r>
    <n v="26663"/>
    <x v="1"/>
    <x v="0"/>
    <n v="60000"/>
    <n v="2"/>
    <x v="0"/>
    <x v="2"/>
    <x v="1"/>
    <x v="1"/>
    <x v="0"/>
    <x v="1"/>
    <n v="39"/>
    <x v="0"/>
    <x v="1"/>
  </r>
  <r>
    <n v="11896"/>
    <x v="0"/>
    <x v="1"/>
    <n v="100000"/>
    <n v="1"/>
    <x v="4"/>
    <x v="4"/>
    <x v="0"/>
    <x v="0"/>
    <x v="1"/>
    <x v="1"/>
    <n v="36"/>
    <x v="0"/>
    <x v="1"/>
  </r>
  <r>
    <n v="14189"/>
    <x v="0"/>
    <x v="0"/>
    <n v="90000"/>
    <n v="4"/>
    <x v="2"/>
    <x v="2"/>
    <x v="1"/>
    <x v="2"/>
    <x v="1"/>
    <x v="0"/>
    <n v="54"/>
    <x v="1"/>
    <x v="1"/>
  </r>
  <r>
    <n v="13136"/>
    <x v="0"/>
    <x v="0"/>
    <n v="30000"/>
    <n v="2"/>
    <x v="1"/>
    <x v="1"/>
    <x v="1"/>
    <x v="2"/>
    <x v="2"/>
    <x v="1"/>
    <n v="69"/>
    <x v="3"/>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3"/>
    <x v="0"/>
  </r>
  <r>
    <n v="28758"/>
    <x v="0"/>
    <x v="1"/>
    <n v="40000"/>
    <n v="2"/>
    <x v="1"/>
    <x v="1"/>
    <x v="0"/>
    <x v="1"/>
    <x v="3"/>
    <x v="0"/>
    <n v="35"/>
    <x v="2"/>
    <x v="1"/>
  </r>
  <r>
    <n v="11381"/>
    <x v="0"/>
    <x v="0"/>
    <n v="20000"/>
    <n v="2"/>
    <x v="1"/>
    <x v="3"/>
    <x v="0"/>
    <x v="1"/>
    <x v="1"/>
    <x v="0"/>
    <n v="47"/>
    <x v="1"/>
    <x v="1"/>
  </r>
  <r>
    <n v="17522"/>
    <x v="0"/>
    <x v="1"/>
    <n v="120000"/>
    <n v="4"/>
    <x v="0"/>
    <x v="4"/>
    <x v="0"/>
    <x v="1"/>
    <x v="1"/>
    <x v="1"/>
    <n v="47"/>
    <x v="1"/>
    <x v="0"/>
  </r>
  <r>
    <n v="21207"/>
    <x v="0"/>
    <x v="1"/>
    <n v="60000"/>
    <n v="1"/>
    <x v="1"/>
    <x v="0"/>
    <x v="0"/>
    <x v="1"/>
    <x v="2"/>
    <x v="1"/>
    <n v="46"/>
    <x v="1"/>
    <x v="0"/>
  </r>
  <r>
    <n v="28102"/>
    <x v="0"/>
    <x v="1"/>
    <n v="20000"/>
    <n v="4"/>
    <x v="2"/>
    <x v="0"/>
    <x v="0"/>
    <x v="2"/>
    <x v="2"/>
    <x v="1"/>
    <n v="58"/>
    <x v="1"/>
    <x v="1"/>
  </r>
  <r>
    <n v="23105"/>
    <x v="1"/>
    <x v="1"/>
    <n v="40000"/>
    <n v="3"/>
    <x v="3"/>
    <x v="1"/>
    <x v="1"/>
    <x v="2"/>
    <x v="2"/>
    <x v="1"/>
    <n v="52"/>
    <x v="1"/>
    <x v="1"/>
  </r>
  <r>
    <n v="18740"/>
    <x v="0"/>
    <x v="1"/>
    <n v="80000"/>
    <n v="5"/>
    <x v="0"/>
    <x v="2"/>
    <x v="1"/>
    <x v="1"/>
    <x v="0"/>
    <x v="1"/>
    <n v="47"/>
    <x v="1"/>
    <x v="1"/>
  </r>
  <r>
    <n v="21213"/>
    <x v="1"/>
    <x v="1"/>
    <n v="70000"/>
    <n v="0"/>
    <x v="0"/>
    <x v="2"/>
    <x v="1"/>
    <x v="1"/>
    <x v="2"/>
    <x v="1"/>
    <n v="41"/>
    <x v="0"/>
    <x v="0"/>
  </r>
  <r>
    <n v="17352"/>
    <x v="0"/>
    <x v="1"/>
    <n v="50000"/>
    <n v="2"/>
    <x v="4"/>
    <x v="4"/>
    <x v="0"/>
    <x v="1"/>
    <x v="2"/>
    <x v="1"/>
    <n v="64"/>
    <x v="1"/>
    <x v="1"/>
  </r>
  <r>
    <n v="14154"/>
    <x v="0"/>
    <x v="1"/>
    <n v="30000"/>
    <n v="0"/>
    <x v="0"/>
    <x v="1"/>
    <x v="0"/>
    <x v="0"/>
    <x v="0"/>
    <x v="0"/>
    <n v="35"/>
    <x v="2"/>
    <x v="1"/>
  </r>
  <r>
    <n v="19066"/>
    <x v="0"/>
    <x v="1"/>
    <n v="130000"/>
    <n v="4"/>
    <x v="1"/>
    <x v="2"/>
    <x v="1"/>
    <x v="4"/>
    <x v="4"/>
    <x v="0"/>
    <n v="54"/>
    <x v="1"/>
    <x v="0"/>
  </r>
  <r>
    <n v="11386"/>
    <x v="0"/>
    <x v="0"/>
    <n v="30000"/>
    <n v="3"/>
    <x v="0"/>
    <x v="1"/>
    <x v="0"/>
    <x v="0"/>
    <x v="0"/>
    <x v="0"/>
    <n v="45"/>
    <x v="1"/>
    <x v="0"/>
  </r>
  <r>
    <n v="20228"/>
    <x v="0"/>
    <x v="1"/>
    <n v="100000"/>
    <n v="0"/>
    <x v="4"/>
    <x v="4"/>
    <x v="0"/>
    <x v="0"/>
    <x v="1"/>
    <x v="1"/>
    <n v="40"/>
    <x v="0"/>
    <x v="1"/>
  </r>
  <r>
    <n v="16675"/>
    <x v="1"/>
    <x v="0"/>
    <n v="160000"/>
    <n v="0"/>
    <x v="4"/>
    <x v="4"/>
    <x v="1"/>
    <x v="4"/>
    <x v="0"/>
    <x v="1"/>
    <n v="47"/>
    <x v="1"/>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2"/>
    <x v="0"/>
  </r>
  <r>
    <n v="19508"/>
    <x v="0"/>
    <x v="1"/>
    <n v="10000"/>
    <n v="0"/>
    <x v="3"/>
    <x v="3"/>
    <x v="1"/>
    <x v="2"/>
    <x v="0"/>
    <x v="0"/>
    <n v="30"/>
    <x v="2"/>
    <x v="0"/>
  </r>
  <r>
    <n v="11489"/>
    <x v="1"/>
    <x v="0"/>
    <n v="20000"/>
    <n v="0"/>
    <x v="3"/>
    <x v="3"/>
    <x v="1"/>
    <x v="2"/>
    <x v="3"/>
    <x v="0"/>
    <n v="35"/>
    <x v="2"/>
    <x v="1"/>
  </r>
  <r>
    <n v="18160"/>
    <x v="0"/>
    <x v="1"/>
    <n v="130000"/>
    <n v="3"/>
    <x v="2"/>
    <x v="2"/>
    <x v="0"/>
    <x v="3"/>
    <x v="2"/>
    <x v="0"/>
    <n v="51"/>
    <x v="1"/>
    <x v="1"/>
  </r>
  <r>
    <n v="25241"/>
    <x v="0"/>
    <x v="1"/>
    <n v="90000"/>
    <n v="2"/>
    <x v="0"/>
    <x v="2"/>
    <x v="0"/>
    <x v="1"/>
    <x v="2"/>
    <x v="1"/>
    <n v="47"/>
    <x v="1"/>
    <x v="0"/>
  </r>
  <r>
    <n v="24369"/>
    <x v="0"/>
    <x v="1"/>
    <n v="80000"/>
    <n v="5"/>
    <x v="4"/>
    <x v="4"/>
    <x v="1"/>
    <x v="2"/>
    <x v="0"/>
    <x v="1"/>
    <n v="39"/>
    <x v="0"/>
    <x v="0"/>
  </r>
  <r>
    <n v="27165"/>
    <x v="1"/>
    <x v="1"/>
    <n v="20000"/>
    <n v="0"/>
    <x v="3"/>
    <x v="3"/>
    <x v="1"/>
    <x v="2"/>
    <x v="0"/>
    <x v="0"/>
    <n v="34"/>
    <x v="2"/>
    <x v="0"/>
  </r>
  <r>
    <n v="29424"/>
    <x v="0"/>
    <x v="1"/>
    <n v="10000"/>
    <n v="0"/>
    <x v="3"/>
    <x v="3"/>
    <x v="0"/>
    <x v="2"/>
    <x v="0"/>
    <x v="0"/>
    <n v="32"/>
    <x v="2"/>
    <x v="0"/>
  </r>
  <r>
    <n v="15926"/>
    <x v="1"/>
    <x v="0"/>
    <n v="120000"/>
    <n v="3"/>
    <x v="2"/>
    <x v="2"/>
    <x v="0"/>
    <x v="3"/>
    <x v="2"/>
    <x v="0"/>
    <n v="50"/>
    <x v="1"/>
    <x v="1"/>
  </r>
  <r>
    <n v="14554"/>
    <x v="0"/>
    <x v="1"/>
    <n v="20000"/>
    <n v="1"/>
    <x v="0"/>
    <x v="1"/>
    <x v="0"/>
    <x v="0"/>
    <x v="0"/>
    <x v="0"/>
    <n v="66"/>
    <x v="3"/>
    <x v="0"/>
  </r>
  <r>
    <n v="16468"/>
    <x v="1"/>
    <x v="1"/>
    <n v="30000"/>
    <n v="0"/>
    <x v="1"/>
    <x v="1"/>
    <x v="0"/>
    <x v="1"/>
    <x v="1"/>
    <x v="0"/>
    <n v="30"/>
    <x v="2"/>
    <x v="0"/>
  </r>
  <r>
    <n v="19174"/>
    <x v="1"/>
    <x v="0"/>
    <n v="30000"/>
    <n v="0"/>
    <x v="2"/>
    <x v="3"/>
    <x v="1"/>
    <x v="1"/>
    <x v="1"/>
    <x v="0"/>
    <n v="32"/>
    <x v="2"/>
    <x v="1"/>
  </r>
  <r>
    <n v="19183"/>
    <x v="1"/>
    <x v="1"/>
    <n v="10000"/>
    <n v="0"/>
    <x v="3"/>
    <x v="3"/>
    <x v="0"/>
    <x v="2"/>
    <x v="3"/>
    <x v="0"/>
    <n v="35"/>
    <x v="2"/>
    <x v="0"/>
  </r>
  <r>
    <n v="13683"/>
    <x v="1"/>
    <x v="0"/>
    <n v="30000"/>
    <n v="0"/>
    <x v="2"/>
    <x v="3"/>
    <x v="1"/>
    <x v="1"/>
    <x v="1"/>
    <x v="0"/>
    <n v="32"/>
    <x v="2"/>
    <x v="0"/>
  </r>
  <r>
    <n v="17848"/>
    <x v="1"/>
    <x v="1"/>
    <n v="30000"/>
    <n v="0"/>
    <x v="1"/>
    <x v="1"/>
    <x v="1"/>
    <x v="1"/>
    <x v="1"/>
    <x v="0"/>
    <n v="31"/>
    <x v="2"/>
    <x v="1"/>
  </r>
  <r>
    <n v="17894"/>
    <x v="0"/>
    <x v="0"/>
    <n v="20000"/>
    <n v="1"/>
    <x v="0"/>
    <x v="1"/>
    <x v="0"/>
    <x v="0"/>
    <x v="0"/>
    <x v="0"/>
    <n v="50"/>
    <x v="1"/>
    <x v="1"/>
  </r>
  <r>
    <n v="25651"/>
    <x v="0"/>
    <x v="1"/>
    <n v="40000"/>
    <n v="1"/>
    <x v="0"/>
    <x v="0"/>
    <x v="1"/>
    <x v="0"/>
    <x v="0"/>
    <x v="0"/>
    <n v="43"/>
    <x v="0"/>
    <x v="1"/>
  </r>
  <r>
    <n v="22936"/>
    <x v="1"/>
    <x v="0"/>
    <n v="60000"/>
    <n v="1"/>
    <x v="1"/>
    <x v="0"/>
    <x v="1"/>
    <x v="1"/>
    <x v="0"/>
    <x v="1"/>
    <n v="45"/>
    <x v="1"/>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1"/>
    <x v="0"/>
  </r>
  <r>
    <n v="26354"/>
    <x v="1"/>
    <x v="1"/>
    <n v="40000"/>
    <n v="0"/>
    <x v="4"/>
    <x v="1"/>
    <x v="1"/>
    <x v="0"/>
    <x v="0"/>
    <x v="0"/>
    <n v="38"/>
    <x v="0"/>
    <x v="1"/>
  </r>
  <r>
    <n v="14785"/>
    <x v="1"/>
    <x v="1"/>
    <n v="30000"/>
    <n v="1"/>
    <x v="0"/>
    <x v="1"/>
    <x v="1"/>
    <x v="1"/>
    <x v="3"/>
    <x v="0"/>
    <n v="39"/>
    <x v="0"/>
    <x v="0"/>
  </r>
  <r>
    <n v="17238"/>
    <x v="1"/>
    <x v="1"/>
    <n v="80000"/>
    <n v="0"/>
    <x v="0"/>
    <x v="2"/>
    <x v="0"/>
    <x v="4"/>
    <x v="4"/>
    <x v="1"/>
    <n v="32"/>
    <x v="2"/>
    <x v="0"/>
  </r>
  <r>
    <n v="23608"/>
    <x v="0"/>
    <x v="0"/>
    <n v="150000"/>
    <n v="3"/>
    <x v="2"/>
    <x v="2"/>
    <x v="0"/>
    <x v="4"/>
    <x v="0"/>
    <x v="0"/>
    <n v="51"/>
    <x v="1"/>
    <x v="1"/>
  </r>
  <r>
    <n v="22538"/>
    <x v="1"/>
    <x v="0"/>
    <n v="10000"/>
    <n v="0"/>
    <x v="3"/>
    <x v="3"/>
    <x v="0"/>
    <x v="2"/>
    <x v="3"/>
    <x v="0"/>
    <n v="33"/>
    <x v="2"/>
    <x v="0"/>
  </r>
  <r>
    <n v="12332"/>
    <x v="0"/>
    <x v="1"/>
    <n v="90000"/>
    <n v="4"/>
    <x v="2"/>
    <x v="4"/>
    <x v="0"/>
    <x v="4"/>
    <x v="2"/>
    <x v="0"/>
    <n v="58"/>
    <x v="1"/>
    <x v="1"/>
  </r>
  <r>
    <n v="17230"/>
    <x v="0"/>
    <x v="1"/>
    <n v="80000"/>
    <n v="0"/>
    <x v="0"/>
    <x v="2"/>
    <x v="0"/>
    <x v="4"/>
    <x v="4"/>
    <x v="1"/>
    <n v="30"/>
    <x v="2"/>
    <x v="0"/>
  </r>
  <r>
    <n v="13082"/>
    <x v="1"/>
    <x v="1"/>
    <n v="130000"/>
    <n v="0"/>
    <x v="4"/>
    <x v="4"/>
    <x v="0"/>
    <x v="0"/>
    <x v="1"/>
    <x v="1"/>
    <n v="48"/>
    <x v="1"/>
    <x v="1"/>
  </r>
  <r>
    <n v="22518"/>
    <x v="1"/>
    <x v="0"/>
    <n v="30000"/>
    <n v="3"/>
    <x v="1"/>
    <x v="1"/>
    <x v="1"/>
    <x v="2"/>
    <x v="0"/>
    <x v="0"/>
    <n v="27"/>
    <x v="2"/>
    <x v="1"/>
  </r>
  <r>
    <n v="13687"/>
    <x v="0"/>
    <x v="1"/>
    <n v="40000"/>
    <n v="1"/>
    <x v="0"/>
    <x v="0"/>
    <x v="0"/>
    <x v="1"/>
    <x v="0"/>
    <x v="0"/>
    <n v="33"/>
    <x v="2"/>
    <x v="1"/>
  </r>
  <r>
    <n v="23571"/>
    <x v="0"/>
    <x v="0"/>
    <n v="40000"/>
    <n v="2"/>
    <x v="0"/>
    <x v="4"/>
    <x v="0"/>
    <x v="2"/>
    <x v="0"/>
    <x v="1"/>
    <n v="66"/>
    <x v="3"/>
    <x v="1"/>
  </r>
  <r>
    <n v="19305"/>
    <x v="1"/>
    <x v="0"/>
    <n v="10000"/>
    <n v="2"/>
    <x v="2"/>
    <x v="3"/>
    <x v="0"/>
    <x v="1"/>
    <x v="0"/>
    <x v="0"/>
    <n v="38"/>
    <x v="0"/>
    <x v="1"/>
  </r>
  <r>
    <n v="22636"/>
    <x v="1"/>
    <x v="0"/>
    <n v="40000"/>
    <n v="0"/>
    <x v="0"/>
    <x v="1"/>
    <x v="1"/>
    <x v="0"/>
    <x v="0"/>
    <x v="0"/>
    <n v="38"/>
    <x v="0"/>
    <x v="1"/>
  </r>
  <r>
    <n v="17310"/>
    <x v="0"/>
    <x v="1"/>
    <n v="60000"/>
    <n v="1"/>
    <x v="1"/>
    <x v="0"/>
    <x v="0"/>
    <x v="1"/>
    <x v="0"/>
    <x v="1"/>
    <n v="45"/>
    <x v="1"/>
    <x v="1"/>
  </r>
  <r>
    <n v="12133"/>
    <x v="0"/>
    <x v="0"/>
    <n v="130000"/>
    <n v="3"/>
    <x v="1"/>
    <x v="2"/>
    <x v="0"/>
    <x v="4"/>
    <x v="2"/>
    <x v="0"/>
    <n v="50"/>
    <x v="1"/>
    <x v="1"/>
  </r>
  <r>
    <n v="25918"/>
    <x v="1"/>
    <x v="0"/>
    <n v="30000"/>
    <n v="2"/>
    <x v="1"/>
    <x v="1"/>
    <x v="1"/>
    <x v="2"/>
    <x v="2"/>
    <x v="1"/>
    <n v="60"/>
    <x v="1"/>
    <x v="1"/>
  </r>
  <r>
    <n v="25752"/>
    <x v="1"/>
    <x v="0"/>
    <n v="20000"/>
    <n v="2"/>
    <x v="1"/>
    <x v="3"/>
    <x v="1"/>
    <x v="1"/>
    <x v="0"/>
    <x v="0"/>
    <n v="53"/>
    <x v="1"/>
    <x v="1"/>
  </r>
  <r>
    <n v="17324"/>
    <x v="0"/>
    <x v="0"/>
    <n v="100000"/>
    <n v="4"/>
    <x v="0"/>
    <x v="2"/>
    <x v="0"/>
    <x v="1"/>
    <x v="4"/>
    <x v="1"/>
    <n v="46"/>
    <x v="1"/>
    <x v="0"/>
  </r>
  <r>
    <n v="22918"/>
    <x v="1"/>
    <x v="1"/>
    <n v="80000"/>
    <n v="5"/>
    <x v="4"/>
    <x v="4"/>
    <x v="0"/>
    <x v="4"/>
    <x v="0"/>
    <x v="1"/>
    <n v="50"/>
    <x v="1"/>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3"/>
    <x v="0"/>
  </r>
  <r>
    <n v="20977"/>
    <x v="0"/>
    <x v="1"/>
    <n v="20000"/>
    <n v="1"/>
    <x v="0"/>
    <x v="1"/>
    <x v="0"/>
    <x v="0"/>
    <x v="0"/>
    <x v="0"/>
    <n v="64"/>
    <x v="1"/>
    <x v="1"/>
  </r>
  <r>
    <n v="18140"/>
    <x v="0"/>
    <x v="1"/>
    <n v="130000"/>
    <n v="3"/>
    <x v="1"/>
    <x v="2"/>
    <x v="1"/>
    <x v="4"/>
    <x v="2"/>
    <x v="0"/>
    <n v="51"/>
    <x v="1"/>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3"/>
    <x v="0"/>
  </r>
  <r>
    <n v="13586"/>
    <x v="0"/>
    <x v="1"/>
    <n v="80000"/>
    <n v="4"/>
    <x v="1"/>
    <x v="2"/>
    <x v="0"/>
    <x v="2"/>
    <x v="4"/>
    <x v="0"/>
    <n v="53"/>
    <x v="1"/>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2"/>
    <x v="1"/>
  </r>
  <r>
    <n v="13690"/>
    <x v="1"/>
    <x v="0"/>
    <n v="20000"/>
    <n v="0"/>
    <x v="3"/>
    <x v="3"/>
    <x v="1"/>
    <x v="2"/>
    <x v="3"/>
    <x v="0"/>
    <n v="34"/>
    <x v="2"/>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1"/>
    <x v="0"/>
  </r>
  <r>
    <n v="23962"/>
    <x v="0"/>
    <x v="0"/>
    <n v="10000"/>
    <n v="0"/>
    <x v="3"/>
    <x v="3"/>
    <x v="0"/>
    <x v="2"/>
    <x v="3"/>
    <x v="0"/>
    <n v="32"/>
    <x v="2"/>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1"/>
    <x v="1"/>
  </r>
  <r>
    <n v="25792"/>
    <x v="1"/>
    <x v="0"/>
    <n v="110000"/>
    <n v="3"/>
    <x v="0"/>
    <x v="4"/>
    <x v="0"/>
    <x v="3"/>
    <x v="4"/>
    <x v="0"/>
    <n v="53"/>
    <x v="1"/>
    <x v="0"/>
  </r>
  <r>
    <n v="11555"/>
    <x v="0"/>
    <x v="0"/>
    <n v="40000"/>
    <n v="1"/>
    <x v="0"/>
    <x v="1"/>
    <x v="0"/>
    <x v="0"/>
    <x v="0"/>
    <x v="0"/>
    <n v="80"/>
    <x v="3"/>
    <x v="0"/>
  </r>
  <r>
    <n v="22381"/>
    <x v="0"/>
    <x v="1"/>
    <n v="10000"/>
    <n v="1"/>
    <x v="4"/>
    <x v="3"/>
    <x v="0"/>
    <x v="0"/>
    <x v="0"/>
    <x v="0"/>
    <n v="44"/>
    <x v="0"/>
    <x v="0"/>
  </r>
  <r>
    <n v="17882"/>
    <x v="0"/>
    <x v="1"/>
    <n v="20000"/>
    <n v="1"/>
    <x v="4"/>
    <x v="1"/>
    <x v="0"/>
    <x v="0"/>
    <x v="0"/>
    <x v="0"/>
    <n v="44"/>
    <x v="0"/>
    <x v="0"/>
  </r>
  <r>
    <n v="22174"/>
    <x v="0"/>
    <x v="1"/>
    <n v="30000"/>
    <n v="3"/>
    <x v="2"/>
    <x v="0"/>
    <x v="0"/>
    <x v="2"/>
    <x v="2"/>
    <x v="1"/>
    <n v="54"/>
    <x v="1"/>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2"/>
    <x v="0"/>
  </r>
  <r>
    <n v="22821"/>
    <x v="0"/>
    <x v="0"/>
    <n v="130000"/>
    <n v="3"/>
    <x v="1"/>
    <x v="2"/>
    <x v="0"/>
    <x v="3"/>
    <x v="0"/>
    <x v="0"/>
    <n v="52"/>
    <x v="1"/>
    <x v="0"/>
  </r>
  <r>
    <n v="20171"/>
    <x v="0"/>
    <x v="0"/>
    <n v="20000"/>
    <n v="2"/>
    <x v="1"/>
    <x v="3"/>
    <x v="0"/>
    <x v="1"/>
    <x v="0"/>
    <x v="0"/>
    <n v="46"/>
    <x v="1"/>
    <x v="1"/>
  </r>
  <r>
    <n v="11116"/>
    <x v="0"/>
    <x v="1"/>
    <n v="70000"/>
    <n v="5"/>
    <x v="1"/>
    <x v="0"/>
    <x v="0"/>
    <x v="2"/>
    <x v="2"/>
    <x v="1"/>
    <n v="43"/>
    <x v="0"/>
    <x v="0"/>
  </r>
  <r>
    <n v="20053"/>
    <x v="1"/>
    <x v="1"/>
    <n v="40000"/>
    <n v="2"/>
    <x v="1"/>
    <x v="1"/>
    <x v="0"/>
    <x v="0"/>
    <x v="0"/>
    <x v="0"/>
    <n v="34"/>
    <x v="2"/>
    <x v="0"/>
  </r>
  <r>
    <n v="25266"/>
    <x v="1"/>
    <x v="0"/>
    <n v="30000"/>
    <n v="2"/>
    <x v="1"/>
    <x v="1"/>
    <x v="1"/>
    <x v="2"/>
    <x v="2"/>
    <x v="1"/>
    <n v="67"/>
    <x v="3"/>
    <x v="0"/>
  </r>
  <r>
    <n v="17960"/>
    <x v="0"/>
    <x v="0"/>
    <n v="40000"/>
    <n v="0"/>
    <x v="4"/>
    <x v="1"/>
    <x v="0"/>
    <x v="0"/>
    <x v="0"/>
    <x v="0"/>
    <n v="35"/>
    <x v="2"/>
    <x v="1"/>
  </r>
  <r>
    <n v="13961"/>
    <x v="0"/>
    <x v="0"/>
    <n v="80000"/>
    <n v="5"/>
    <x v="4"/>
    <x v="4"/>
    <x v="0"/>
    <x v="4"/>
    <x v="0"/>
    <x v="1"/>
    <n v="40"/>
    <x v="0"/>
    <x v="0"/>
  </r>
  <r>
    <n v="11897"/>
    <x v="1"/>
    <x v="1"/>
    <n v="60000"/>
    <n v="2"/>
    <x v="0"/>
    <x v="2"/>
    <x v="1"/>
    <x v="1"/>
    <x v="0"/>
    <x v="1"/>
    <n v="37"/>
    <x v="0"/>
    <x v="1"/>
  </r>
  <r>
    <n v="11139"/>
    <x v="1"/>
    <x v="0"/>
    <n v="30000"/>
    <n v="2"/>
    <x v="1"/>
    <x v="1"/>
    <x v="1"/>
    <x v="2"/>
    <x v="2"/>
    <x v="1"/>
    <n v="67"/>
    <x v="3"/>
    <x v="0"/>
  </r>
  <r>
    <n v="11576"/>
    <x v="0"/>
    <x v="1"/>
    <n v="30000"/>
    <n v="1"/>
    <x v="0"/>
    <x v="0"/>
    <x v="0"/>
    <x v="2"/>
    <x v="0"/>
    <x v="0"/>
    <n v="41"/>
    <x v="0"/>
    <x v="1"/>
  </r>
  <r>
    <n v="19255"/>
    <x v="1"/>
    <x v="1"/>
    <n v="10000"/>
    <n v="2"/>
    <x v="1"/>
    <x v="3"/>
    <x v="0"/>
    <x v="1"/>
    <x v="0"/>
    <x v="0"/>
    <n v="51"/>
    <x v="1"/>
    <x v="1"/>
  </r>
  <r>
    <n v="18153"/>
    <x v="0"/>
    <x v="0"/>
    <n v="100000"/>
    <n v="2"/>
    <x v="0"/>
    <x v="4"/>
    <x v="0"/>
    <x v="3"/>
    <x v="4"/>
    <x v="0"/>
    <n v="59"/>
    <x v="1"/>
    <x v="0"/>
  </r>
  <r>
    <n v="14547"/>
    <x v="0"/>
    <x v="1"/>
    <n v="10000"/>
    <n v="2"/>
    <x v="1"/>
    <x v="3"/>
    <x v="0"/>
    <x v="0"/>
    <x v="3"/>
    <x v="0"/>
    <n v="51"/>
    <x v="1"/>
    <x v="0"/>
  </r>
  <r>
    <n v="24901"/>
    <x v="1"/>
    <x v="1"/>
    <n v="110000"/>
    <n v="0"/>
    <x v="1"/>
    <x v="4"/>
    <x v="1"/>
    <x v="4"/>
    <x v="4"/>
    <x v="1"/>
    <n v="32"/>
    <x v="2"/>
    <x v="1"/>
  </r>
  <r>
    <n v="27169"/>
    <x v="1"/>
    <x v="1"/>
    <n v="30000"/>
    <n v="0"/>
    <x v="2"/>
    <x v="3"/>
    <x v="0"/>
    <x v="1"/>
    <x v="1"/>
    <x v="0"/>
    <n v="34"/>
    <x v="2"/>
    <x v="1"/>
  </r>
  <r>
    <n v="14805"/>
    <x v="1"/>
    <x v="0"/>
    <n v="10000"/>
    <n v="3"/>
    <x v="3"/>
    <x v="3"/>
    <x v="0"/>
    <x v="2"/>
    <x v="0"/>
    <x v="0"/>
    <n v="43"/>
    <x v="0"/>
    <x v="0"/>
  </r>
  <r>
    <n v="15822"/>
    <x v="0"/>
    <x v="1"/>
    <n v="40000"/>
    <n v="2"/>
    <x v="0"/>
    <x v="4"/>
    <x v="0"/>
    <x v="2"/>
    <x v="0"/>
    <x v="1"/>
    <n v="67"/>
    <x v="3"/>
    <x v="0"/>
  </r>
  <r>
    <n v="19389"/>
    <x v="1"/>
    <x v="1"/>
    <n v="30000"/>
    <n v="0"/>
    <x v="1"/>
    <x v="1"/>
    <x v="1"/>
    <x v="1"/>
    <x v="1"/>
    <x v="0"/>
    <n v="28"/>
    <x v="2"/>
    <x v="0"/>
  </r>
  <r>
    <n v="17048"/>
    <x v="1"/>
    <x v="0"/>
    <n v="90000"/>
    <n v="1"/>
    <x v="4"/>
    <x v="4"/>
    <x v="0"/>
    <x v="0"/>
    <x v="0"/>
    <x v="1"/>
    <n v="36"/>
    <x v="0"/>
    <x v="1"/>
  </r>
  <r>
    <n v="22204"/>
    <x v="0"/>
    <x v="1"/>
    <n v="110000"/>
    <n v="4"/>
    <x v="0"/>
    <x v="4"/>
    <x v="0"/>
    <x v="4"/>
    <x v="1"/>
    <x v="1"/>
    <n v="48"/>
    <x v="1"/>
    <x v="0"/>
  </r>
  <r>
    <n v="12718"/>
    <x v="1"/>
    <x v="0"/>
    <n v="30000"/>
    <n v="0"/>
    <x v="1"/>
    <x v="1"/>
    <x v="0"/>
    <x v="1"/>
    <x v="1"/>
    <x v="0"/>
    <n v="31"/>
    <x v="2"/>
    <x v="0"/>
  </r>
  <r>
    <n v="15019"/>
    <x v="1"/>
    <x v="0"/>
    <n v="30000"/>
    <n v="3"/>
    <x v="2"/>
    <x v="0"/>
    <x v="0"/>
    <x v="2"/>
    <x v="2"/>
    <x v="1"/>
    <n v="55"/>
    <x v="1"/>
    <x v="0"/>
  </r>
  <r>
    <n v="28488"/>
    <x v="1"/>
    <x v="1"/>
    <n v="20000"/>
    <n v="0"/>
    <x v="1"/>
    <x v="3"/>
    <x v="0"/>
    <x v="0"/>
    <x v="0"/>
    <x v="1"/>
    <n v="28"/>
    <x v="2"/>
    <x v="1"/>
  </r>
  <r>
    <n v="21891"/>
    <x v="0"/>
    <x v="0"/>
    <n v="110000"/>
    <n v="0"/>
    <x v="2"/>
    <x v="4"/>
    <x v="0"/>
    <x v="4"/>
    <x v="4"/>
    <x v="1"/>
    <n v="34"/>
    <x v="2"/>
    <x v="1"/>
  </r>
  <r>
    <n v="27814"/>
    <x v="1"/>
    <x v="0"/>
    <n v="30000"/>
    <n v="3"/>
    <x v="1"/>
    <x v="1"/>
    <x v="1"/>
    <x v="1"/>
    <x v="0"/>
    <x v="0"/>
    <n v="26"/>
    <x v="2"/>
    <x v="0"/>
  </r>
  <r>
    <n v="22175"/>
    <x v="0"/>
    <x v="0"/>
    <n v="30000"/>
    <n v="3"/>
    <x v="2"/>
    <x v="0"/>
    <x v="0"/>
    <x v="2"/>
    <x v="2"/>
    <x v="1"/>
    <n v="53"/>
    <x v="1"/>
    <x v="1"/>
  </r>
  <r>
    <n v="29447"/>
    <x v="1"/>
    <x v="0"/>
    <n v="10000"/>
    <n v="2"/>
    <x v="0"/>
    <x v="1"/>
    <x v="1"/>
    <x v="1"/>
    <x v="1"/>
    <x v="0"/>
    <n v="68"/>
    <x v="3"/>
    <x v="0"/>
  </r>
  <r>
    <n v="19784"/>
    <x v="0"/>
    <x v="0"/>
    <n v="80000"/>
    <n v="2"/>
    <x v="2"/>
    <x v="0"/>
    <x v="0"/>
    <x v="2"/>
    <x v="2"/>
    <x v="1"/>
    <n v="50"/>
    <x v="1"/>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2"/>
    <x v="1"/>
  </r>
  <r>
    <n v="11061"/>
    <x v="0"/>
    <x v="1"/>
    <n v="70000"/>
    <n v="2"/>
    <x v="1"/>
    <x v="0"/>
    <x v="0"/>
    <x v="2"/>
    <x v="2"/>
    <x v="1"/>
    <n v="52"/>
    <x v="1"/>
    <x v="1"/>
  </r>
  <r>
    <n v="26651"/>
    <x v="1"/>
    <x v="1"/>
    <n v="80000"/>
    <n v="4"/>
    <x v="4"/>
    <x v="4"/>
    <x v="0"/>
    <x v="0"/>
    <x v="0"/>
    <x v="1"/>
    <n v="36"/>
    <x v="0"/>
    <x v="1"/>
  </r>
  <r>
    <n v="21108"/>
    <x v="0"/>
    <x v="0"/>
    <n v="40000"/>
    <n v="1"/>
    <x v="0"/>
    <x v="0"/>
    <x v="0"/>
    <x v="1"/>
    <x v="0"/>
    <x v="0"/>
    <n v="43"/>
    <x v="0"/>
    <x v="1"/>
  </r>
  <r>
    <n v="12731"/>
    <x v="1"/>
    <x v="1"/>
    <n v="30000"/>
    <n v="0"/>
    <x v="2"/>
    <x v="3"/>
    <x v="1"/>
    <x v="1"/>
    <x v="3"/>
    <x v="0"/>
    <n v="32"/>
    <x v="2"/>
    <x v="0"/>
  </r>
  <r>
    <n v="25307"/>
    <x v="0"/>
    <x v="0"/>
    <n v="40000"/>
    <n v="1"/>
    <x v="0"/>
    <x v="0"/>
    <x v="0"/>
    <x v="1"/>
    <x v="3"/>
    <x v="0"/>
    <n v="32"/>
    <x v="2"/>
    <x v="1"/>
  </r>
  <r>
    <n v="14278"/>
    <x v="0"/>
    <x v="0"/>
    <n v="130000"/>
    <n v="0"/>
    <x v="4"/>
    <x v="4"/>
    <x v="0"/>
    <x v="1"/>
    <x v="4"/>
    <x v="1"/>
    <n v="48"/>
    <x v="1"/>
    <x v="0"/>
  </r>
  <r>
    <n v="20711"/>
    <x v="0"/>
    <x v="0"/>
    <n v="40000"/>
    <n v="1"/>
    <x v="0"/>
    <x v="0"/>
    <x v="0"/>
    <x v="0"/>
    <x v="3"/>
    <x v="0"/>
    <n v="32"/>
    <x v="2"/>
    <x v="1"/>
  </r>
  <r>
    <n v="11383"/>
    <x v="0"/>
    <x v="0"/>
    <n v="30000"/>
    <n v="3"/>
    <x v="4"/>
    <x v="1"/>
    <x v="0"/>
    <x v="0"/>
    <x v="0"/>
    <x v="0"/>
    <n v="46"/>
    <x v="1"/>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3"/>
    <x v="0"/>
  </r>
  <r>
    <n v="26765"/>
    <x v="1"/>
    <x v="0"/>
    <n v="70000"/>
    <n v="5"/>
    <x v="1"/>
    <x v="0"/>
    <x v="0"/>
    <x v="2"/>
    <x v="2"/>
    <x v="1"/>
    <n v="45"/>
    <x v="1"/>
    <x v="0"/>
  </r>
  <r>
    <n v="12389"/>
    <x v="1"/>
    <x v="1"/>
    <n v="30000"/>
    <n v="0"/>
    <x v="2"/>
    <x v="3"/>
    <x v="1"/>
    <x v="1"/>
    <x v="1"/>
    <x v="0"/>
    <n v="34"/>
    <x v="2"/>
    <x v="0"/>
  </r>
  <r>
    <n v="13585"/>
    <x v="0"/>
    <x v="0"/>
    <n v="80000"/>
    <n v="4"/>
    <x v="1"/>
    <x v="2"/>
    <x v="1"/>
    <x v="1"/>
    <x v="1"/>
    <x v="0"/>
    <n v="53"/>
    <x v="1"/>
    <x v="1"/>
  </r>
  <r>
    <n v="26385"/>
    <x v="1"/>
    <x v="1"/>
    <n v="120000"/>
    <n v="3"/>
    <x v="2"/>
    <x v="2"/>
    <x v="1"/>
    <x v="3"/>
    <x v="2"/>
    <x v="0"/>
    <n v="50"/>
    <x v="1"/>
    <x v="0"/>
  </r>
  <r>
    <n v="12236"/>
    <x v="0"/>
    <x v="0"/>
    <n v="20000"/>
    <n v="1"/>
    <x v="1"/>
    <x v="3"/>
    <x v="0"/>
    <x v="0"/>
    <x v="0"/>
    <x v="0"/>
    <n v="65"/>
    <x v="3"/>
    <x v="0"/>
  </r>
  <r>
    <n v="21560"/>
    <x v="0"/>
    <x v="1"/>
    <n v="120000"/>
    <n v="0"/>
    <x v="3"/>
    <x v="2"/>
    <x v="0"/>
    <x v="3"/>
    <x v="4"/>
    <x v="1"/>
    <n v="32"/>
    <x v="2"/>
    <x v="1"/>
  </r>
  <r>
    <n v="21554"/>
    <x v="1"/>
    <x v="0"/>
    <n v="80000"/>
    <n v="0"/>
    <x v="0"/>
    <x v="2"/>
    <x v="1"/>
    <x v="4"/>
    <x v="4"/>
    <x v="1"/>
    <n v="33"/>
    <x v="2"/>
    <x v="0"/>
  </r>
  <r>
    <n v="13662"/>
    <x v="1"/>
    <x v="1"/>
    <n v="20000"/>
    <n v="0"/>
    <x v="3"/>
    <x v="3"/>
    <x v="0"/>
    <x v="2"/>
    <x v="3"/>
    <x v="0"/>
    <n v="31"/>
    <x v="2"/>
    <x v="1"/>
  </r>
  <r>
    <n v="13089"/>
    <x v="0"/>
    <x v="0"/>
    <n v="120000"/>
    <n v="1"/>
    <x v="0"/>
    <x v="4"/>
    <x v="0"/>
    <x v="2"/>
    <x v="0"/>
    <x v="1"/>
    <n v="46"/>
    <x v="1"/>
    <x v="1"/>
  </r>
  <r>
    <n v="14791"/>
    <x v="0"/>
    <x v="0"/>
    <n v="40000"/>
    <n v="0"/>
    <x v="0"/>
    <x v="1"/>
    <x v="0"/>
    <x v="0"/>
    <x v="0"/>
    <x v="0"/>
    <n v="39"/>
    <x v="0"/>
    <x v="1"/>
  </r>
  <r>
    <n v="19331"/>
    <x v="1"/>
    <x v="1"/>
    <n v="20000"/>
    <n v="2"/>
    <x v="2"/>
    <x v="3"/>
    <x v="0"/>
    <x v="1"/>
    <x v="0"/>
    <x v="0"/>
    <n v="40"/>
    <x v="0"/>
    <x v="0"/>
  </r>
  <r>
    <n v="17754"/>
    <x v="1"/>
    <x v="0"/>
    <n v="30000"/>
    <n v="3"/>
    <x v="0"/>
    <x v="1"/>
    <x v="0"/>
    <x v="0"/>
    <x v="0"/>
    <x v="0"/>
    <n v="46"/>
    <x v="1"/>
    <x v="1"/>
  </r>
  <r>
    <n v="11149"/>
    <x v="0"/>
    <x v="1"/>
    <n v="40000"/>
    <n v="2"/>
    <x v="0"/>
    <x v="4"/>
    <x v="0"/>
    <x v="2"/>
    <x v="0"/>
    <x v="1"/>
    <n v="65"/>
    <x v="3"/>
    <x v="0"/>
  </r>
  <r>
    <n v="16549"/>
    <x v="1"/>
    <x v="0"/>
    <n v="30000"/>
    <n v="3"/>
    <x v="0"/>
    <x v="1"/>
    <x v="0"/>
    <x v="0"/>
    <x v="0"/>
    <x v="0"/>
    <n v="47"/>
    <x v="1"/>
    <x v="1"/>
  </r>
  <r>
    <n v="24305"/>
    <x v="1"/>
    <x v="1"/>
    <n v="100000"/>
    <n v="1"/>
    <x v="0"/>
    <x v="4"/>
    <x v="1"/>
    <x v="4"/>
    <x v="0"/>
    <x v="1"/>
    <n v="46"/>
    <x v="1"/>
    <x v="1"/>
  </r>
  <r>
    <n v="18253"/>
    <x v="0"/>
    <x v="0"/>
    <n v="80000"/>
    <n v="5"/>
    <x v="4"/>
    <x v="4"/>
    <x v="0"/>
    <x v="4"/>
    <x v="0"/>
    <x v="1"/>
    <n v="40"/>
    <x v="0"/>
    <x v="0"/>
  </r>
  <r>
    <n v="20147"/>
    <x v="0"/>
    <x v="0"/>
    <n v="30000"/>
    <n v="1"/>
    <x v="0"/>
    <x v="1"/>
    <x v="0"/>
    <x v="0"/>
    <x v="0"/>
    <x v="0"/>
    <n v="65"/>
    <x v="3"/>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1"/>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1"/>
    <x v="1"/>
  </r>
  <r>
    <n v="22610"/>
    <x v="0"/>
    <x v="1"/>
    <n v="30000"/>
    <n v="0"/>
    <x v="0"/>
    <x v="1"/>
    <x v="0"/>
    <x v="0"/>
    <x v="0"/>
    <x v="0"/>
    <n v="35"/>
    <x v="2"/>
    <x v="1"/>
  </r>
  <r>
    <n v="26984"/>
    <x v="0"/>
    <x v="1"/>
    <n v="40000"/>
    <n v="1"/>
    <x v="0"/>
    <x v="0"/>
    <x v="0"/>
    <x v="1"/>
    <x v="0"/>
    <x v="0"/>
    <n v="32"/>
    <x v="2"/>
    <x v="1"/>
  </r>
  <r>
    <n v="18294"/>
    <x v="0"/>
    <x v="0"/>
    <n v="90000"/>
    <n v="1"/>
    <x v="0"/>
    <x v="2"/>
    <x v="0"/>
    <x v="1"/>
    <x v="2"/>
    <x v="1"/>
    <n v="46"/>
    <x v="1"/>
    <x v="0"/>
  </r>
  <r>
    <n v="28564"/>
    <x v="1"/>
    <x v="0"/>
    <n v="40000"/>
    <n v="2"/>
    <x v="1"/>
    <x v="1"/>
    <x v="0"/>
    <x v="0"/>
    <x v="3"/>
    <x v="0"/>
    <n v="33"/>
    <x v="2"/>
    <x v="1"/>
  </r>
  <r>
    <n v="28521"/>
    <x v="1"/>
    <x v="1"/>
    <n v="40000"/>
    <n v="0"/>
    <x v="4"/>
    <x v="1"/>
    <x v="1"/>
    <x v="0"/>
    <x v="0"/>
    <x v="0"/>
    <n v="36"/>
    <x v="0"/>
    <x v="1"/>
  </r>
  <r>
    <n v="15450"/>
    <x v="0"/>
    <x v="1"/>
    <n v="10000"/>
    <n v="1"/>
    <x v="4"/>
    <x v="1"/>
    <x v="0"/>
    <x v="0"/>
    <x v="0"/>
    <x v="0"/>
    <n v="70"/>
    <x v="3"/>
    <x v="0"/>
  </r>
  <r>
    <n v="25681"/>
    <x v="1"/>
    <x v="0"/>
    <n v="30000"/>
    <n v="0"/>
    <x v="1"/>
    <x v="1"/>
    <x v="1"/>
    <x v="1"/>
    <x v="1"/>
    <x v="0"/>
    <n v="31"/>
    <x v="2"/>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2"/>
    <x v="0"/>
  </r>
  <r>
    <n v="27835"/>
    <x v="0"/>
    <x v="1"/>
    <n v="20000"/>
    <n v="0"/>
    <x v="3"/>
    <x v="3"/>
    <x v="0"/>
    <x v="2"/>
    <x v="0"/>
    <x v="0"/>
    <n v="32"/>
    <x v="2"/>
    <x v="0"/>
  </r>
  <r>
    <n v="11738"/>
    <x v="0"/>
    <x v="1"/>
    <n v="60000"/>
    <n v="4"/>
    <x v="0"/>
    <x v="2"/>
    <x v="0"/>
    <x v="0"/>
    <x v="1"/>
    <x v="2"/>
    <n v="46"/>
    <x v="1"/>
    <x v="0"/>
  </r>
  <r>
    <n v="25065"/>
    <x v="0"/>
    <x v="1"/>
    <n v="70000"/>
    <n v="2"/>
    <x v="3"/>
    <x v="0"/>
    <x v="0"/>
    <x v="2"/>
    <x v="2"/>
    <x v="2"/>
    <n v="48"/>
    <x v="1"/>
    <x v="0"/>
  </r>
  <r>
    <n v="26238"/>
    <x v="1"/>
    <x v="0"/>
    <n v="40000"/>
    <n v="3"/>
    <x v="1"/>
    <x v="1"/>
    <x v="0"/>
    <x v="1"/>
    <x v="3"/>
    <x v="2"/>
    <n v="31"/>
    <x v="2"/>
    <x v="1"/>
  </r>
  <r>
    <n v="23707"/>
    <x v="1"/>
    <x v="1"/>
    <n v="70000"/>
    <n v="5"/>
    <x v="0"/>
    <x v="4"/>
    <x v="0"/>
    <x v="4"/>
    <x v="4"/>
    <x v="2"/>
    <n v="60"/>
    <x v="1"/>
    <x v="1"/>
  </r>
  <r>
    <n v="27650"/>
    <x v="0"/>
    <x v="1"/>
    <n v="70000"/>
    <n v="4"/>
    <x v="2"/>
    <x v="2"/>
    <x v="0"/>
    <x v="0"/>
    <x v="2"/>
    <x v="2"/>
    <n v="51"/>
    <x v="1"/>
    <x v="0"/>
  </r>
  <r>
    <n v="24981"/>
    <x v="0"/>
    <x v="1"/>
    <n v="60000"/>
    <n v="2"/>
    <x v="1"/>
    <x v="2"/>
    <x v="0"/>
    <x v="2"/>
    <x v="4"/>
    <x v="2"/>
    <n v="56"/>
    <x v="1"/>
    <x v="0"/>
  </r>
  <r>
    <n v="20678"/>
    <x v="1"/>
    <x v="0"/>
    <n v="60000"/>
    <n v="3"/>
    <x v="0"/>
    <x v="0"/>
    <x v="0"/>
    <x v="1"/>
    <x v="1"/>
    <x v="2"/>
    <n v="40"/>
    <x v="0"/>
    <x v="1"/>
  </r>
  <r>
    <n v="15302"/>
    <x v="1"/>
    <x v="0"/>
    <n v="70000"/>
    <n v="1"/>
    <x v="4"/>
    <x v="2"/>
    <x v="0"/>
    <x v="0"/>
    <x v="1"/>
    <x v="2"/>
    <n v="34"/>
    <x v="2"/>
    <x v="1"/>
  </r>
  <r>
    <n v="26012"/>
    <x v="0"/>
    <x v="1"/>
    <n v="80000"/>
    <n v="1"/>
    <x v="1"/>
    <x v="0"/>
    <x v="0"/>
    <x v="1"/>
    <x v="1"/>
    <x v="2"/>
    <n v="48"/>
    <x v="1"/>
    <x v="1"/>
  </r>
  <r>
    <n v="26575"/>
    <x v="1"/>
    <x v="0"/>
    <n v="40000"/>
    <n v="0"/>
    <x v="2"/>
    <x v="0"/>
    <x v="1"/>
    <x v="2"/>
    <x v="3"/>
    <x v="2"/>
    <n v="31"/>
    <x v="2"/>
    <x v="1"/>
  </r>
  <r>
    <n v="15559"/>
    <x v="0"/>
    <x v="1"/>
    <n v="60000"/>
    <n v="5"/>
    <x v="0"/>
    <x v="2"/>
    <x v="0"/>
    <x v="1"/>
    <x v="1"/>
    <x v="2"/>
    <n v="47"/>
    <x v="1"/>
    <x v="0"/>
  </r>
  <r>
    <n v="19235"/>
    <x v="0"/>
    <x v="0"/>
    <n v="50000"/>
    <n v="0"/>
    <x v="4"/>
    <x v="0"/>
    <x v="0"/>
    <x v="0"/>
    <x v="0"/>
    <x v="2"/>
    <n v="34"/>
    <x v="2"/>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1"/>
    <x v="1"/>
  </r>
  <r>
    <n v="16337"/>
    <x v="0"/>
    <x v="1"/>
    <n v="60000"/>
    <n v="0"/>
    <x v="1"/>
    <x v="0"/>
    <x v="1"/>
    <x v="2"/>
    <x v="3"/>
    <x v="2"/>
    <n v="29"/>
    <x v="2"/>
    <x v="0"/>
  </r>
  <r>
    <n v="24357"/>
    <x v="0"/>
    <x v="1"/>
    <n v="80000"/>
    <n v="3"/>
    <x v="0"/>
    <x v="2"/>
    <x v="0"/>
    <x v="1"/>
    <x v="1"/>
    <x v="2"/>
    <n v="48"/>
    <x v="1"/>
    <x v="1"/>
  </r>
  <r>
    <n v="18613"/>
    <x v="1"/>
    <x v="1"/>
    <n v="70000"/>
    <n v="0"/>
    <x v="0"/>
    <x v="2"/>
    <x v="1"/>
    <x v="1"/>
    <x v="1"/>
    <x v="2"/>
    <n v="37"/>
    <x v="0"/>
    <x v="1"/>
  </r>
  <r>
    <n v="12207"/>
    <x v="1"/>
    <x v="1"/>
    <n v="80000"/>
    <n v="4"/>
    <x v="0"/>
    <x v="4"/>
    <x v="0"/>
    <x v="0"/>
    <x v="2"/>
    <x v="2"/>
    <n v="66"/>
    <x v="3"/>
    <x v="1"/>
  </r>
  <r>
    <n v="18052"/>
    <x v="0"/>
    <x v="0"/>
    <n v="60000"/>
    <n v="1"/>
    <x v="1"/>
    <x v="0"/>
    <x v="0"/>
    <x v="1"/>
    <x v="0"/>
    <x v="2"/>
    <n v="45"/>
    <x v="1"/>
    <x v="1"/>
  </r>
  <r>
    <n v="13353"/>
    <x v="1"/>
    <x v="0"/>
    <n v="60000"/>
    <n v="4"/>
    <x v="4"/>
    <x v="4"/>
    <x v="0"/>
    <x v="2"/>
    <x v="4"/>
    <x v="2"/>
    <n v="61"/>
    <x v="1"/>
    <x v="1"/>
  </r>
  <r>
    <n v="19399"/>
    <x v="1"/>
    <x v="1"/>
    <n v="40000"/>
    <n v="0"/>
    <x v="0"/>
    <x v="2"/>
    <x v="1"/>
    <x v="1"/>
    <x v="1"/>
    <x v="2"/>
    <n v="45"/>
    <x v="1"/>
    <x v="0"/>
  </r>
  <r>
    <n v="16154"/>
    <x v="0"/>
    <x v="0"/>
    <n v="70000"/>
    <n v="5"/>
    <x v="0"/>
    <x v="2"/>
    <x v="0"/>
    <x v="2"/>
    <x v="1"/>
    <x v="2"/>
    <n v="47"/>
    <x v="1"/>
    <x v="0"/>
  </r>
  <r>
    <n v="22219"/>
    <x v="0"/>
    <x v="0"/>
    <n v="60000"/>
    <n v="2"/>
    <x v="2"/>
    <x v="2"/>
    <x v="0"/>
    <x v="2"/>
    <x v="2"/>
    <x v="2"/>
    <n v="49"/>
    <x v="1"/>
    <x v="0"/>
  </r>
  <r>
    <n v="17269"/>
    <x v="1"/>
    <x v="1"/>
    <n v="60000"/>
    <n v="3"/>
    <x v="0"/>
    <x v="2"/>
    <x v="1"/>
    <x v="0"/>
    <x v="0"/>
    <x v="2"/>
    <n v="47"/>
    <x v="1"/>
    <x v="1"/>
  </r>
  <r>
    <n v="23586"/>
    <x v="0"/>
    <x v="0"/>
    <n v="80000"/>
    <n v="0"/>
    <x v="0"/>
    <x v="4"/>
    <x v="0"/>
    <x v="1"/>
    <x v="3"/>
    <x v="2"/>
    <n v="34"/>
    <x v="2"/>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1"/>
    <x v="1"/>
  </r>
  <r>
    <n v="13283"/>
    <x v="0"/>
    <x v="1"/>
    <n v="80000"/>
    <n v="3"/>
    <x v="1"/>
    <x v="2"/>
    <x v="1"/>
    <x v="2"/>
    <x v="0"/>
    <x v="2"/>
    <n v="49"/>
    <x v="1"/>
    <x v="1"/>
  </r>
  <r>
    <n v="17471"/>
    <x v="1"/>
    <x v="0"/>
    <n v="80000"/>
    <n v="4"/>
    <x v="4"/>
    <x v="4"/>
    <x v="0"/>
    <x v="2"/>
    <x v="2"/>
    <x v="2"/>
    <n v="67"/>
    <x v="3"/>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3"/>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1"/>
    <x v="1"/>
  </r>
  <r>
    <n v="11262"/>
    <x v="0"/>
    <x v="0"/>
    <n v="80000"/>
    <n v="4"/>
    <x v="0"/>
    <x v="4"/>
    <x v="0"/>
    <x v="0"/>
    <x v="0"/>
    <x v="2"/>
    <n v="42"/>
    <x v="0"/>
    <x v="0"/>
  </r>
  <r>
    <n v="22294"/>
    <x v="1"/>
    <x v="0"/>
    <n v="70000"/>
    <n v="0"/>
    <x v="0"/>
    <x v="2"/>
    <x v="1"/>
    <x v="1"/>
    <x v="1"/>
    <x v="2"/>
    <n v="37"/>
    <x v="0"/>
    <x v="1"/>
  </r>
  <r>
    <n v="12195"/>
    <x v="1"/>
    <x v="0"/>
    <n v="70000"/>
    <n v="3"/>
    <x v="4"/>
    <x v="4"/>
    <x v="0"/>
    <x v="2"/>
    <x v="3"/>
    <x v="2"/>
    <n v="52"/>
    <x v="1"/>
    <x v="0"/>
  </r>
  <r>
    <n v="25375"/>
    <x v="0"/>
    <x v="1"/>
    <n v="50000"/>
    <n v="1"/>
    <x v="4"/>
    <x v="0"/>
    <x v="0"/>
    <x v="0"/>
    <x v="3"/>
    <x v="2"/>
    <n v="34"/>
    <x v="2"/>
    <x v="0"/>
  </r>
  <r>
    <n v="11143"/>
    <x v="0"/>
    <x v="1"/>
    <n v="40000"/>
    <n v="0"/>
    <x v="2"/>
    <x v="0"/>
    <x v="0"/>
    <x v="2"/>
    <x v="2"/>
    <x v="2"/>
    <n v="29"/>
    <x v="2"/>
    <x v="0"/>
  </r>
  <r>
    <n v="25898"/>
    <x v="0"/>
    <x v="0"/>
    <n v="70000"/>
    <n v="2"/>
    <x v="2"/>
    <x v="2"/>
    <x v="0"/>
    <x v="2"/>
    <x v="1"/>
    <x v="2"/>
    <n v="53"/>
    <x v="1"/>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1"/>
    <x v="0"/>
  </r>
  <r>
    <n v="13453"/>
    <x v="0"/>
    <x v="0"/>
    <n v="130000"/>
    <n v="3"/>
    <x v="0"/>
    <x v="4"/>
    <x v="0"/>
    <x v="4"/>
    <x v="0"/>
    <x v="2"/>
    <n v="45"/>
    <x v="1"/>
    <x v="1"/>
  </r>
  <r>
    <n v="14063"/>
    <x v="1"/>
    <x v="0"/>
    <n v="70000"/>
    <n v="0"/>
    <x v="0"/>
    <x v="2"/>
    <x v="1"/>
    <x v="1"/>
    <x v="0"/>
    <x v="1"/>
    <n v="42"/>
    <x v="0"/>
    <x v="1"/>
  </r>
  <r>
    <n v="27393"/>
    <x v="0"/>
    <x v="0"/>
    <n v="50000"/>
    <n v="4"/>
    <x v="0"/>
    <x v="4"/>
    <x v="0"/>
    <x v="2"/>
    <x v="4"/>
    <x v="2"/>
    <n v="63"/>
    <x v="1"/>
    <x v="0"/>
  </r>
  <r>
    <n v="14417"/>
    <x v="1"/>
    <x v="1"/>
    <n v="60000"/>
    <n v="3"/>
    <x v="2"/>
    <x v="2"/>
    <x v="0"/>
    <x v="2"/>
    <x v="4"/>
    <x v="2"/>
    <n v="54"/>
    <x v="1"/>
    <x v="1"/>
  </r>
  <r>
    <n v="17533"/>
    <x v="0"/>
    <x v="1"/>
    <n v="40000"/>
    <n v="3"/>
    <x v="1"/>
    <x v="2"/>
    <x v="1"/>
    <x v="2"/>
    <x v="2"/>
    <x v="2"/>
    <n v="73"/>
    <x v="3"/>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2"/>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1"/>
    <x v="0"/>
  </r>
  <r>
    <n v="18560"/>
    <x v="0"/>
    <x v="0"/>
    <n v="70000"/>
    <n v="2"/>
    <x v="4"/>
    <x v="2"/>
    <x v="0"/>
    <x v="0"/>
    <x v="1"/>
    <x v="2"/>
    <n v="34"/>
    <x v="2"/>
    <x v="1"/>
  </r>
  <r>
    <n v="25006"/>
    <x v="1"/>
    <x v="0"/>
    <n v="30000"/>
    <n v="0"/>
    <x v="1"/>
    <x v="0"/>
    <x v="0"/>
    <x v="1"/>
    <x v="2"/>
    <x v="2"/>
    <n v="28"/>
    <x v="2"/>
    <x v="0"/>
  </r>
  <r>
    <n v="17369"/>
    <x v="1"/>
    <x v="1"/>
    <n v="30000"/>
    <n v="0"/>
    <x v="1"/>
    <x v="0"/>
    <x v="0"/>
    <x v="1"/>
    <x v="2"/>
    <x v="2"/>
    <n v="27"/>
    <x v="2"/>
    <x v="0"/>
  </r>
  <r>
    <n v="14495"/>
    <x v="0"/>
    <x v="1"/>
    <n v="40000"/>
    <n v="3"/>
    <x v="1"/>
    <x v="2"/>
    <x v="1"/>
    <x v="2"/>
    <x v="2"/>
    <x v="2"/>
    <n v="54"/>
    <x v="1"/>
    <x v="1"/>
  </r>
  <r>
    <n v="18847"/>
    <x v="0"/>
    <x v="0"/>
    <n v="60000"/>
    <n v="2"/>
    <x v="4"/>
    <x v="4"/>
    <x v="0"/>
    <x v="2"/>
    <x v="2"/>
    <x v="2"/>
    <n v="70"/>
    <x v="3"/>
    <x v="0"/>
  </r>
  <r>
    <n v="14754"/>
    <x v="0"/>
    <x v="1"/>
    <n v="40000"/>
    <n v="1"/>
    <x v="1"/>
    <x v="1"/>
    <x v="0"/>
    <x v="1"/>
    <x v="3"/>
    <x v="2"/>
    <n v="48"/>
    <x v="1"/>
    <x v="1"/>
  </r>
  <r>
    <n v="23378"/>
    <x v="0"/>
    <x v="1"/>
    <n v="70000"/>
    <n v="1"/>
    <x v="1"/>
    <x v="0"/>
    <x v="0"/>
    <x v="1"/>
    <x v="1"/>
    <x v="2"/>
    <n v="44"/>
    <x v="0"/>
    <x v="1"/>
  </r>
  <r>
    <n v="26452"/>
    <x v="1"/>
    <x v="1"/>
    <n v="50000"/>
    <n v="3"/>
    <x v="4"/>
    <x v="4"/>
    <x v="0"/>
    <x v="2"/>
    <x v="4"/>
    <x v="2"/>
    <n v="69"/>
    <x v="3"/>
    <x v="0"/>
  </r>
  <r>
    <n v="20370"/>
    <x v="0"/>
    <x v="1"/>
    <n v="70000"/>
    <n v="3"/>
    <x v="3"/>
    <x v="0"/>
    <x v="0"/>
    <x v="2"/>
    <x v="2"/>
    <x v="2"/>
    <n v="52"/>
    <x v="1"/>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2"/>
    <x v="1"/>
  </r>
  <r>
    <n v="13388"/>
    <x v="1"/>
    <x v="1"/>
    <n v="60000"/>
    <n v="2"/>
    <x v="1"/>
    <x v="2"/>
    <x v="0"/>
    <x v="1"/>
    <x v="4"/>
    <x v="2"/>
    <n v="56"/>
    <x v="1"/>
    <x v="0"/>
  </r>
  <r>
    <n v="18752"/>
    <x v="1"/>
    <x v="0"/>
    <n v="40000"/>
    <n v="0"/>
    <x v="2"/>
    <x v="0"/>
    <x v="0"/>
    <x v="1"/>
    <x v="2"/>
    <x v="2"/>
    <n v="31"/>
    <x v="2"/>
    <x v="0"/>
  </r>
  <r>
    <n v="16917"/>
    <x v="0"/>
    <x v="1"/>
    <n v="120000"/>
    <n v="1"/>
    <x v="0"/>
    <x v="4"/>
    <x v="0"/>
    <x v="3"/>
    <x v="0"/>
    <x v="2"/>
    <n v="38"/>
    <x v="0"/>
    <x v="0"/>
  </r>
  <r>
    <n v="15313"/>
    <x v="0"/>
    <x v="1"/>
    <n v="60000"/>
    <n v="4"/>
    <x v="0"/>
    <x v="4"/>
    <x v="0"/>
    <x v="2"/>
    <x v="1"/>
    <x v="2"/>
    <n v="59"/>
    <x v="1"/>
    <x v="0"/>
  </r>
  <r>
    <n v="25329"/>
    <x v="1"/>
    <x v="0"/>
    <n v="40000"/>
    <n v="3"/>
    <x v="1"/>
    <x v="1"/>
    <x v="1"/>
    <x v="2"/>
    <x v="0"/>
    <x v="2"/>
    <n v="32"/>
    <x v="2"/>
    <x v="0"/>
  </r>
  <r>
    <n v="20380"/>
    <x v="0"/>
    <x v="0"/>
    <n v="60000"/>
    <n v="3"/>
    <x v="4"/>
    <x v="4"/>
    <x v="0"/>
    <x v="2"/>
    <x v="4"/>
    <x v="2"/>
    <n v="69"/>
    <x v="3"/>
    <x v="0"/>
  </r>
  <r>
    <n v="23089"/>
    <x v="0"/>
    <x v="1"/>
    <n v="40000"/>
    <n v="0"/>
    <x v="1"/>
    <x v="0"/>
    <x v="0"/>
    <x v="1"/>
    <x v="2"/>
    <x v="2"/>
    <n v="28"/>
    <x v="2"/>
    <x v="0"/>
  </r>
  <r>
    <n v="13749"/>
    <x v="0"/>
    <x v="1"/>
    <n v="80000"/>
    <n v="4"/>
    <x v="4"/>
    <x v="0"/>
    <x v="0"/>
    <x v="0"/>
    <x v="3"/>
    <x v="2"/>
    <n v="47"/>
    <x v="1"/>
    <x v="0"/>
  </r>
  <r>
    <n v="24943"/>
    <x v="0"/>
    <x v="1"/>
    <n v="60000"/>
    <n v="3"/>
    <x v="0"/>
    <x v="4"/>
    <x v="0"/>
    <x v="2"/>
    <x v="4"/>
    <x v="2"/>
    <n v="66"/>
    <x v="3"/>
    <x v="0"/>
  </r>
  <r>
    <n v="28667"/>
    <x v="1"/>
    <x v="1"/>
    <n v="70000"/>
    <n v="2"/>
    <x v="0"/>
    <x v="0"/>
    <x v="1"/>
    <x v="1"/>
    <x v="0"/>
    <x v="2"/>
    <n v="37"/>
    <x v="0"/>
    <x v="1"/>
  </r>
  <r>
    <n v="15194"/>
    <x v="1"/>
    <x v="1"/>
    <n v="120000"/>
    <n v="2"/>
    <x v="0"/>
    <x v="4"/>
    <x v="1"/>
    <x v="4"/>
    <x v="0"/>
    <x v="2"/>
    <n v="39"/>
    <x v="0"/>
    <x v="1"/>
  </r>
  <r>
    <n v="17436"/>
    <x v="0"/>
    <x v="1"/>
    <n v="60000"/>
    <n v="2"/>
    <x v="2"/>
    <x v="2"/>
    <x v="1"/>
    <x v="2"/>
    <x v="3"/>
    <x v="2"/>
    <n v="51"/>
    <x v="1"/>
    <x v="0"/>
  </r>
  <r>
    <n v="18935"/>
    <x v="0"/>
    <x v="0"/>
    <n v="130000"/>
    <n v="0"/>
    <x v="4"/>
    <x v="4"/>
    <x v="0"/>
    <x v="4"/>
    <x v="3"/>
    <x v="2"/>
    <n v="40"/>
    <x v="0"/>
    <x v="0"/>
  </r>
  <r>
    <n v="16871"/>
    <x v="0"/>
    <x v="0"/>
    <n v="90000"/>
    <n v="2"/>
    <x v="2"/>
    <x v="2"/>
    <x v="0"/>
    <x v="1"/>
    <x v="4"/>
    <x v="2"/>
    <n v="51"/>
    <x v="1"/>
    <x v="1"/>
  </r>
  <r>
    <n v="12100"/>
    <x v="1"/>
    <x v="1"/>
    <n v="60000"/>
    <n v="2"/>
    <x v="0"/>
    <x v="4"/>
    <x v="0"/>
    <x v="0"/>
    <x v="4"/>
    <x v="2"/>
    <n v="57"/>
    <x v="1"/>
    <x v="0"/>
  </r>
  <r>
    <n v="23158"/>
    <x v="0"/>
    <x v="0"/>
    <n v="60000"/>
    <n v="1"/>
    <x v="4"/>
    <x v="2"/>
    <x v="1"/>
    <x v="0"/>
    <x v="0"/>
    <x v="2"/>
    <n v="35"/>
    <x v="2"/>
    <x v="1"/>
  </r>
  <r>
    <n v="18545"/>
    <x v="0"/>
    <x v="1"/>
    <n v="40000"/>
    <n v="4"/>
    <x v="2"/>
    <x v="2"/>
    <x v="1"/>
    <x v="2"/>
    <x v="4"/>
    <x v="2"/>
    <n v="61"/>
    <x v="1"/>
    <x v="1"/>
  </r>
  <r>
    <n v="18391"/>
    <x v="1"/>
    <x v="0"/>
    <n v="80000"/>
    <n v="5"/>
    <x v="1"/>
    <x v="2"/>
    <x v="0"/>
    <x v="2"/>
    <x v="2"/>
    <x v="2"/>
    <n v="44"/>
    <x v="0"/>
    <x v="0"/>
  </r>
  <r>
    <n v="19812"/>
    <x v="1"/>
    <x v="0"/>
    <n v="70000"/>
    <n v="2"/>
    <x v="1"/>
    <x v="2"/>
    <x v="0"/>
    <x v="0"/>
    <x v="2"/>
    <x v="2"/>
    <n v="49"/>
    <x v="1"/>
    <x v="1"/>
  </r>
  <r>
    <n v="27660"/>
    <x v="0"/>
    <x v="1"/>
    <n v="80000"/>
    <n v="4"/>
    <x v="4"/>
    <x v="4"/>
    <x v="0"/>
    <x v="2"/>
    <x v="2"/>
    <x v="2"/>
    <n v="70"/>
    <x v="3"/>
    <x v="0"/>
  </r>
  <r>
    <n v="18058"/>
    <x v="1"/>
    <x v="0"/>
    <n v="20000"/>
    <n v="3"/>
    <x v="2"/>
    <x v="0"/>
    <x v="0"/>
    <x v="2"/>
    <x v="1"/>
    <x v="2"/>
    <n v="78"/>
    <x v="3"/>
    <x v="0"/>
  </r>
  <r>
    <n v="20343"/>
    <x v="0"/>
    <x v="0"/>
    <n v="90000"/>
    <n v="4"/>
    <x v="1"/>
    <x v="2"/>
    <x v="0"/>
    <x v="1"/>
    <x v="3"/>
    <x v="2"/>
    <n v="45"/>
    <x v="1"/>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1"/>
    <x v="0"/>
  </r>
  <r>
    <n v="29231"/>
    <x v="1"/>
    <x v="1"/>
    <n v="80000"/>
    <n v="4"/>
    <x v="1"/>
    <x v="2"/>
    <x v="1"/>
    <x v="2"/>
    <x v="0"/>
    <x v="2"/>
    <n v="43"/>
    <x v="0"/>
    <x v="0"/>
  </r>
  <r>
    <n v="18858"/>
    <x v="1"/>
    <x v="1"/>
    <n v="60000"/>
    <n v="2"/>
    <x v="3"/>
    <x v="0"/>
    <x v="0"/>
    <x v="2"/>
    <x v="2"/>
    <x v="2"/>
    <n v="52"/>
    <x v="1"/>
    <x v="1"/>
  </r>
  <r>
    <n v="20000"/>
    <x v="0"/>
    <x v="1"/>
    <n v="60000"/>
    <n v="1"/>
    <x v="4"/>
    <x v="2"/>
    <x v="0"/>
    <x v="0"/>
    <x v="0"/>
    <x v="2"/>
    <n v="35"/>
    <x v="2"/>
    <x v="1"/>
  </r>
  <r>
    <n v="25261"/>
    <x v="0"/>
    <x v="1"/>
    <n v="40000"/>
    <n v="0"/>
    <x v="2"/>
    <x v="0"/>
    <x v="0"/>
    <x v="2"/>
    <x v="2"/>
    <x v="2"/>
    <n v="27"/>
    <x v="2"/>
    <x v="0"/>
  </r>
  <r>
    <n v="17458"/>
    <x v="1"/>
    <x v="1"/>
    <n v="70000"/>
    <n v="3"/>
    <x v="2"/>
    <x v="2"/>
    <x v="0"/>
    <x v="0"/>
    <x v="2"/>
    <x v="2"/>
    <n v="52"/>
    <x v="1"/>
    <x v="1"/>
  </r>
  <r>
    <n v="11644"/>
    <x v="1"/>
    <x v="1"/>
    <n v="40000"/>
    <n v="2"/>
    <x v="0"/>
    <x v="0"/>
    <x v="0"/>
    <x v="0"/>
    <x v="1"/>
    <x v="2"/>
    <n v="36"/>
    <x v="0"/>
    <x v="0"/>
  </r>
  <r>
    <n v="16145"/>
    <x v="1"/>
    <x v="0"/>
    <n v="70000"/>
    <n v="5"/>
    <x v="4"/>
    <x v="2"/>
    <x v="0"/>
    <x v="4"/>
    <x v="4"/>
    <x v="2"/>
    <n v="46"/>
    <x v="1"/>
    <x v="1"/>
  </r>
  <r>
    <n v="16890"/>
    <x v="0"/>
    <x v="1"/>
    <n v="60000"/>
    <n v="3"/>
    <x v="3"/>
    <x v="0"/>
    <x v="0"/>
    <x v="2"/>
    <x v="2"/>
    <x v="2"/>
    <n v="52"/>
    <x v="1"/>
    <x v="1"/>
  </r>
  <r>
    <n v="25983"/>
    <x v="0"/>
    <x v="1"/>
    <n v="70000"/>
    <n v="0"/>
    <x v="0"/>
    <x v="2"/>
    <x v="1"/>
    <x v="1"/>
    <x v="0"/>
    <x v="2"/>
    <n v="43"/>
    <x v="0"/>
    <x v="0"/>
  </r>
  <r>
    <n v="14633"/>
    <x v="0"/>
    <x v="1"/>
    <n v="60000"/>
    <n v="1"/>
    <x v="1"/>
    <x v="0"/>
    <x v="0"/>
    <x v="1"/>
    <x v="1"/>
    <x v="2"/>
    <n v="44"/>
    <x v="0"/>
    <x v="0"/>
  </r>
  <r>
    <n v="22994"/>
    <x v="0"/>
    <x v="0"/>
    <n v="80000"/>
    <n v="0"/>
    <x v="0"/>
    <x v="4"/>
    <x v="0"/>
    <x v="1"/>
    <x v="3"/>
    <x v="2"/>
    <n v="34"/>
    <x v="2"/>
    <x v="1"/>
  </r>
  <r>
    <n v="22983"/>
    <x v="1"/>
    <x v="0"/>
    <n v="30000"/>
    <n v="0"/>
    <x v="3"/>
    <x v="1"/>
    <x v="0"/>
    <x v="2"/>
    <x v="2"/>
    <x v="2"/>
    <n v="27"/>
    <x v="2"/>
    <x v="0"/>
  </r>
  <r>
    <n v="25184"/>
    <x v="1"/>
    <x v="1"/>
    <n v="110000"/>
    <n v="1"/>
    <x v="1"/>
    <x v="2"/>
    <x v="0"/>
    <x v="3"/>
    <x v="2"/>
    <x v="2"/>
    <n v="45"/>
    <x v="1"/>
    <x v="1"/>
  </r>
  <r>
    <n v="14469"/>
    <x v="0"/>
    <x v="0"/>
    <n v="100000"/>
    <n v="3"/>
    <x v="1"/>
    <x v="2"/>
    <x v="0"/>
    <x v="3"/>
    <x v="3"/>
    <x v="2"/>
    <n v="45"/>
    <x v="1"/>
    <x v="0"/>
  </r>
  <r>
    <n v="11538"/>
    <x v="1"/>
    <x v="0"/>
    <n v="60000"/>
    <n v="4"/>
    <x v="4"/>
    <x v="0"/>
    <x v="1"/>
    <x v="0"/>
    <x v="0"/>
    <x v="2"/>
    <n v="47"/>
    <x v="1"/>
    <x v="1"/>
  </r>
  <r>
    <n v="16245"/>
    <x v="1"/>
    <x v="0"/>
    <n v="80000"/>
    <n v="4"/>
    <x v="4"/>
    <x v="0"/>
    <x v="0"/>
    <x v="0"/>
    <x v="3"/>
    <x v="2"/>
    <n v="47"/>
    <x v="1"/>
    <x v="0"/>
  </r>
  <r>
    <n v="17858"/>
    <x v="0"/>
    <x v="1"/>
    <n v="40000"/>
    <n v="4"/>
    <x v="2"/>
    <x v="0"/>
    <x v="0"/>
    <x v="2"/>
    <x v="1"/>
    <x v="2"/>
    <n v="44"/>
    <x v="0"/>
    <x v="1"/>
  </r>
  <r>
    <n v="25347"/>
    <x v="1"/>
    <x v="0"/>
    <n v="20000"/>
    <n v="3"/>
    <x v="3"/>
    <x v="1"/>
    <x v="1"/>
    <x v="2"/>
    <x v="0"/>
    <x v="2"/>
    <n v="49"/>
    <x v="1"/>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1"/>
    <x v="0"/>
  </r>
  <r>
    <n v="21801"/>
    <x v="0"/>
    <x v="0"/>
    <n v="70000"/>
    <n v="4"/>
    <x v="1"/>
    <x v="2"/>
    <x v="0"/>
    <x v="1"/>
    <x v="3"/>
    <x v="2"/>
    <n v="55"/>
    <x v="1"/>
    <x v="0"/>
  </r>
  <r>
    <n v="25943"/>
    <x v="1"/>
    <x v="0"/>
    <n v="70000"/>
    <n v="0"/>
    <x v="1"/>
    <x v="0"/>
    <x v="1"/>
    <x v="2"/>
    <x v="0"/>
    <x v="2"/>
    <n v="27"/>
    <x v="2"/>
    <x v="1"/>
  </r>
  <r>
    <n v="22127"/>
    <x v="0"/>
    <x v="1"/>
    <n v="60000"/>
    <n v="3"/>
    <x v="4"/>
    <x v="4"/>
    <x v="0"/>
    <x v="2"/>
    <x v="3"/>
    <x v="2"/>
    <n v="67"/>
    <x v="3"/>
    <x v="0"/>
  </r>
  <r>
    <n v="20414"/>
    <x v="0"/>
    <x v="0"/>
    <n v="60000"/>
    <n v="0"/>
    <x v="1"/>
    <x v="0"/>
    <x v="0"/>
    <x v="2"/>
    <x v="2"/>
    <x v="2"/>
    <n v="29"/>
    <x v="2"/>
    <x v="0"/>
  </r>
  <r>
    <n v="23672"/>
    <x v="0"/>
    <x v="0"/>
    <n v="60000"/>
    <n v="3"/>
    <x v="4"/>
    <x v="4"/>
    <x v="0"/>
    <x v="2"/>
    <x v="3"/>
    <x v="2"/>
    <n v="67"/>
    <x v="3"/>
    <x v="0"/>
  </r>
  <r>
    <n v="29255"/>
    <x v="1"/>
    <x v="1"/>
    <n v="80000"/>
    <n v="3"/>
    <x v="1"/>
    <x v="2"/>
    <x v="1"/>
    <x v="1"/>
    <x v="3"/>
    <x v="2"/>
    <n v="51"/>
    <x v="1"/>
    <x v="1"/>
  </r>
  <r>
    <n v="28815"/>
    <x v="0"/>
    <x v="0"/>
    <n v="50000"/>
    <n v="1"/>
    <x v="4"/>
    <x v="0"/>
    <x v="0"/>
    <x v="0"/>
    <x v="0"/>
    <x v="2"/>
    <n v="35"/>
    <x v="2"/>
    <x v="0"/>
  </r>
  <r>
    <n v="27753"/>
    <x v="0"/>
    <x v="1"/>
    <n v="40000"/>
    <n v="0"/>
    <x v="2"/>
    <x v="0"/>
    <x v="1"/>
    <x v="2"/>
    <x v="3"/>
    <x v="2"/>
    <n v="30"/>
    <x v="2"/>
    <x v="0"/>
  </r>
  <r>
    <n v="27643"/>
    <x v="1"/>
    <x v="1"/>
    <n v="70000"/>
    <n v="5"/>
    <x v="1"/>
    <x v="2"/>
    <x v="0"/>
    <x v="4"/>
    <x v="1"/>
    <x v="2"/>
    <n v="44"/>
    <x v="0"/>
    <x v="0"/>
  </r>
  <r>
    <n v="13754"/>
    <x v="1"/>
    <x v="0"/>
    <n v="80000"/>
    <n v="4"/>
    <x v="4"/>
    <x v="0"/>
    <x v="0"/>
    <x v="0"/>
    <x v="3"/>
    <x v="2"/>
    <n v="48"/>
    <x v="1"/>
    <x v="0"/>
  </r>
  <r>
    <n v="22088"/>
    <x v="0"/>
    <x v="0"/>
    <n v="130000"/>
    <n v="1"/>
    <x v="0"/>
    <x v="4"/>
    <x v="0"/>
    <x v="2"/>
    <x v="0"/>
    <x v="2"/>
    <n v="45"/>
    <x v="1"/>
    <x v="1"/>
  </r>
  <r>
    <n v="27388"/>
    <x v="0"/>
    <x v="1"/>
    <n v="60000"/>
    <n v="3"/>
    <x v="0"/>
    <x v="4"/>
    <x v="1"/>
    <x v="2"/>
    <x v="3"/>
    <x v="2"/>
    <n v="66"/>
    <x v="3"/>
    <x v="0"/>
  </r>
  <r>
    <n v="24745"/>
    <x v="1"/>
    <x v="0"/>
    <n v="30000"/>
    <n v="2"/>
    <x v="2"/>
    <x v="0"/>
    <x v="1"/>
    <x v="2"/>
    <x v="0"/>
    <x v="2"/>
    <n v="49"/>
    <x v="1"/>
    <x v="0"/>
  </r>
  <r>
    <n v="29237"/>
    <x v="1"/>
    <x v="0"/>
    <n v="120000"/>
    <n v="4"/>
    <x v="1"/>
    <x v="2"/>
    <x v="0"/>
    <x v="4"/>
    <x v="2"/>
    <x v="2"/>
    <n v="43"/>
    <x v="0"/>
    <x v="1"/>
  </r>
  <r>
    <n v="15272"/>
    <x v="1"/>
    <x v="1"/>
    <n v="40000"/>
    <n v="0"/>
    <x v="2"/>
    <x v="0"/>
    <x v="1"/>
    <x v="2"/>
    <x v="3"/>
    <x v="2"/>
    <n v="30"/>
    <x v="2"/>
    <x v="0"/>
  </r>
  <r>
    <n v="18949"/>
    <x v="1"/>
    <x v="1"/>
    <n v="70000"/>
    <n v="0"/>
    <x v="4"/>
    <x v="4"/>
    <x v="0"/>
    <x v="2"/>
    <x v="2"/>
    <x v="2"/>
    <n v="74"/>
    <x v="3"/>
    <x v="1"/>
  </r>
  <r>
    <n v="14507"/>
    <x v="0"/>
    <x v="1"/>
    <n v="100000"/>
    <n v="2"/>
    <x v="4"/>
    <x v="4"/>
    <x v="0"/>
    <x v="4"/>
    <x v="3"/>
    <x v="2"/>
    <n v="65"/>
    <x v="3"/>
    <x v="0"/>
  </r>
  <r>
    <n v="25886"/>
    <x v="0"/>
    <x v="0"/>
    <n v="60000"/>
    <n v="2"/>
    <x v="1"/>
    <x v="2"/>
    <x v="0"/>
    <x v="2"/>
    <x v="1"/>
    <x v="2"/>
    <n v="56"/>
    <x v="1"/>
    <x v="1"/>
  </r>
  <r>
    <n v="21441"/>
    <x v="0"/>
    <x v="1"/>
    <n v="50000"/>
    <n v="4"/>
    <x v="0"/>
    <x v="4"/>
    <x v="0"/>
    <x v="2"/>
    <x v="4"/>
    <x v="2"/>
    <n v="64"/>
    <x v="1"/>
    <x v="0"/>
  </r>
  <r>
    <n v="21741"/>
    <x v="0"/>
    <x v="0"/>
    <n v="70000"/>
    <n v="3"/>
    <x v="1"/>
    <x v="2"/>
    <x v="0"/>
    <x v="2"/>
    <x v="2"/>
    <x v="2"/>
    <n v="50"/>
    <x v="1"/>
    <x v="1"/>
  </r>
  <r>
    <n v="14572"/>
    <x v="0"/>
    <x v="0"/>
    <n v="70000"/>
    <n v="3"/>
    <x v="4"/>
    <x v="2"/>
    <x v="0"/>
    <x v="0"/>
    <x v="1"/>
    <x v="2"/>
    <n v="35"/>
    <x v="2"/>
    <x v="1"/>
  </r>
  <r>
    <n v="23368"/>
    <x v="0"/>
    <x v="0"/>
    <n v="60000"/>
    <n v="5"/>
    <x v="0"/>
    <x v="0"/>
    <x v="0"/>
    <x v="4"/>
    <x v="4"/>
    <x v="2"/>
    <n v="41"/>
    <x v="0"/>
    <x v="0"/>
  </r>
  <r>
    <n v="16217"/>
    <x v="1"/>
    <x v="0"/>
    <n v="60000"/>
    <n v="0"/>
    <x v="4"/>
    <x v="0"/>
    <x v="0"/>
    <x v="0"/>
    <x v="0"/>
    <x v="2"/>
    <n v="39"/>
    <x v="0"/>
    <x v="0"/>
  </r>
  <r>
    <n v="16247"/>
    <x v="1"/>
    <x v="0"/>
    <n v="60000"/>
    <n v="4"/>
    <x v="4"/>
    <x v="0"/>
    <x v="1"/>
    <x v="0"/>
    <x v="3"/>
    <x v="2"/>
    <n v="47"/>
    <x v="1"/>
    <x v="0"/>
  </r>
  <r>
    <n v="22010"/>
    <x v="1"/>
    <x v="1"/>
    <n v="40000"/>
    <n v="0"/>
    <x v="2"/>
    <x v="0"/>
    <x v="0"/>
    <x v="2"/>
    <x v="2"/>
    <x v="2"/>
    <n v="31"/>
    <x v="2"/>
    <x v="0"/>
  </r>
  <r>
    <n v="25872"/>
    <x v="1"/>
    <x v="0"/>
    <n v="70000"/>
    <n v="2"/>
    <x v="0"/>
    <x v="4"/>
    <x v="1"/>
    <x v="1"/>
    <x v="1"/>
    <x v="2"/>
    <n v="58"/>
    <x v="1"/>
    <x v="1"/>
  </r>
  <r>
    <n v="19164"/>
    <x v="1"/>
    <x v="0"/>
    <n v="70000"/>
    <n v="0"/>
    <x v="0"/>
    <x v="2"/>
    <x v="1"/>
    <x v="1"/>
    <x v="1"/>
    <x v="2"/>
    <n v="38"/>
    <x v="0"/>
    <x v="1"/>
  </r>
  <r>
    <n v="18435"/>
    <x v="1"/>
    <x v="0"/>
    <n v="70000"/>
    <n v="5"/>
    <x v="4"/>
    <x v="4"/>
    <x v="0"/>
    <x v="2"/>
    <x v="4"/>
    <x v="2"/>
    <n v="67"/>
    <x v="3"/>
    <x v="1"/>
  </r>
  <r>
    <n v="14284"/>
    <x v="1"/>
    <x v="1"/>
    <n v="60000"/>
    <n v="0"/>
    <x v="1"/>
    <x v="2"/>
    <x v="1"/>
    <x v="2"/>
    <x v="3"/>
    <x v="2"/>
    <n v="32"/>
    <x v="2"/>
    <x v="1"/>
  </r>
  <r>
    <n v="11287"/>
    <x v="0"/>
    <x v="1"/>
    <n v="70000"/>
    <n v="5"/>
    <x v="1"/>
    <x v="2"/>
    <x v="1"/>
    <x v="4"/>
    <x v="2"/>
    <x v="2"/>
    <n v="45"/>
    <x v="1"/>
    <x v="0"/>
  </r>
  <r>
    <n v="13066"/>
    <x v="1"/>
    <x v="1"/>
    <n v="30000"/>
    <n v="0"/>
    <x v="2"/>
    <x v="0"/>
    <x v="1"/>
    <x v="2"/>
    <x v="3"/>
    <x v="2"/>
    <n v="31"/>
    <x v="2"/>
    <x v="1"/>
  </r>
  <r>
    <n v="29106"/>
    <x v="1"/>
    <x v="1"/>
    <n v="40000"/>
    <n v="0"/>
    <x v="2"/>
    <x v="0"/>
    <x v="1"/>
    <x v="2"/>
    <x v="3"/>
    <x v="2"/>
    <n v="31"/>
    <x v="2"/>
    <x v="1"/>
  </r>
  <r>
    <n v="26236"/>
    <x v="0"/>
    <x v="0"/>
    <n v="40000"/>
    <n v="3"/>
    <x v="1"/>
    <x v="1"/>
    <x v="0"/>
    <x v="1"/>
    <x v="0"/>
    <x v="2"/>
    <n v="31"/>
    <x v="2"/>
    <x v="0"/>
  </r>
  <r>
    <n v="17531"/>
    <x v="0"/>
    <x v="1"/>
    <n v="60000"/>
    <n v="2"/>
    <x v="2"/>
    <x v="2"/>
    <x v="1"/>
    <x v="2"/>
    <x v="2"/>
    <x v="2"/>
    <n v="50"/>
    <x v="1"/>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1"/>
    <x v="0"/>
  </r>
  <r>
    <n v="28580"/>
    <x v="0"/>
    <x v="0"/>
    <n v="80000"/>
    <n v="0"/>
    <x v="4"/>
    <x v="0"/>
    <x v="0"/>
    <x v="0"/>
    <x v="3"/>
    <x v="2"/>
    <n v="40"/>
    <x v="0"/>
    <x v="1"/>
  </r>
  <r>
    <n v="14443"/>
    <x v="0"/>
    <x v="1"/>
    <n v="130000"/>
    <n v="1"/>
    <x v="4"/>
    <x v="4"/>
    <x v="0"/>
    <x v="3"/>
    <x v="0"/>
    <x v="2"/>
    <n v="40"/>
    <x v="0"/>
    <x v="0"/>
  </r>
  <r>
    <n v="17864"/>
    <x v="0"/>
    <x v="0"/>
    <n v="60000"/>
    <n v="1"/>
    <x v="1"/>
    <x v="0"/>
    <x v="0"/>
    <x v="1"/>
    <x v="1"/>
    <x v="2"/>
    <n v="46"/>
    <x v="1"/>
    <x v="1"/>
  </r>
  <r>
    <n v="20505"/>
    <x v="0"/>
    <x v="0"/>
    <n v="40000"/>
    <n v="5"/>
    <x v="2"/>
    <x v="2"/>
    <x v="1"/>
    <x v="2"/>
    <x v="4"/>
    <x v="2"/>
    <n v="61"/>
    <x v="1"/>
    <x v="0"/>
  </r>
  <r>
    <n v="14592"/>
    <x v="0"/>
    <x v="0"/>
    <n v="60000"/>
    <n v="0"/>
    <x v="4"/>
    <x v="2"/>
    <x v="0"/>
    <x v="0"/>
    <x v="0"/>
    <x v="2"/>
    <n v="40"/>
    <x v="0"/>
    <x v="0"/>
  </r>
  <r>
    <n v="22227"/>
    <x v="0"/>
    <x v="0"/>
    <n v="60000"/>
    <n v="2"/>
    <x v="2"/>
    <x v="2"/>
    <x v="0"/>
    <x v="2"/>
    <x v="2"/>
    <x v="2"/>
    <n v="50"/>
    <x v="1"/>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2"/>
    <x v="1"/>
  </r>
  <r>
    <n v="19223"/>
    <x v="0"/>
    <x v="0"/>
    <n v="30000"/>
    <n v="2"/>
    <x v="2"/>
    <x v="0"/>
    <x v="0"/>
    <x v="2"/>
    <x v="3"/>
    <x v="2"/>
    <n v="48"/>
    <x v="1"/>
    <x v="0"/>
  </r>
  <r>
    <n v="18517"/>
    <x v="0"/>
    <x v="1"/>
    <n v="100000"/>
    <n v="3"/>
    <x v="0"/>
    <x v="4"/>
    <x v="0"/>
    <x v="3"/>
    <x v="0"/>
    <x v="2"/>
    <n v="41"/>
    <x v="0"/>
    <x v="0"/>
  </r>
  <r>
    <n v="21717"/>
    <x v="0"/>
    <x v="1"/>
    <n v="40000"/>
    <n v="2"/>
    <x v="1"/>
    <x v="1"/>
    <x v="0"/>
    <x v="1"/>
    <x v="0"/>
    <x v="2"/>
    <n v="47"/>
    <x v="1"/>
    <x v="0"/>
  </r>
  <r>
    <n v="13760"/>
    <x v="0"/>
    <x v="1"/>
    <n v="60000"/>
    <n v="4"/>
    <x v="4"/>
    <x v="0"/>
    <x v="1"/>
    <x v="0"/>
    <x v="0"/>
    <x v="2"/>
    <n v="47"/>
    <x v="1"/>
    <x v="0"/>
  </r>
  <r>
    <n v="18145"/>
    <x v="0"/>
    <x v="1"/>
    <n v="80000"/>
    <n v="5"/>
    <x v="0"/>
    <x v="4"/>
    <x v="1"/>
    <x v="2"/>
    <x v="1"/>
    <x v="0"/>
    <n v="62"/>
    <x v="1"/>
    <x v="0"/>
  </r>
  <r>
    <n v="21770"/>
    <x v="0"/>
    <x v="1"/>
    <n v="60000"/>
    <n v="4"/>
    <x v="0"/>
    <x v="4"/>
    <x v="0"/>
    <x v="2"/>
    <x v="4"/>
    <x v="2"/>
    <n v="60"/>
    <x v="1"/>
    <x v="0"/>
  </r>
  <r>
    <n v="11165"/>
    <x v="0"/>
    <x v="0"/>
    <n v="60000"/>
    <n v="0"/>
    <x v="1"/>
    <x v="0"/>
    <x v="1"/>
    <x v="1"/>
    <x v="3"/>
    <x v="2"/>
    <n v="33"/>
    <x v="2"/>
    <x v="0"/>
  </r>
  <r>
    <n v="16377"/>
    <x v="1"/>
    <x v="0"/>
    <n v="80000"/>
    <n v="4"/>
    <x v="4"/>
    <x v="0"/>
    <x v="1"/>
    <x v="0"/>
    <x v="0"/>
    <x v="2"/>
    <n v="47"/>
    <x v="1"/>
    <x v="0"/>
  </r>
  <r>
    <n v="26248"/>
    <x v="0"/>
    <x v="1"/>
    <n v="20000"/>
    <n v="3"/>
    <x v="3"/>
    <x v="1"/>
    <x v="1"/>
    <x v="2"/>
    <x v="0"/>
    <x v="2"/>
    <n v="52"/>
    <x v="1"/>
    <x v="0"/>
  </r>
  <r>
    <n v="23461"/>
    <x v="0"/>
    <x v="0"/>
    <n v="90000"/>
    <n v="5"/>
    <x v="1"/>
    <x v="2"/>
    <x v="0"/>
    <x v="4"/>
    <x v="1"/>
    <x v="2"/>
    <n v="40"/>
    <x v="0"/>
    <x v="0"/>
  </r>
  <r>
    <n v="29133"/>
    <x v="1"/>
    <x v="0"/>
    <n v="60000"/>
    <n v="4"/>
    <x v="0"/>
    <x v="0"/>
    <x v="1"/>
    <x v="2"/>
    <x v="0"/>
    <x v="2"/>
    <n v="42"/>
    <x v="0"/>
    <x v="0"/>
  </r>
  <r>
    <n v="27673"/>
    <x v="1"/>
    <x v="0"/>
    <n v="60000"/>
    <n v="3"/>
    <x v="4"/>
    <x v="4"/>
    <x v="0"/>
    <x v="2"/>
    <x v="2"/>
    <x v="2"/>
    <n v="53"/>
    <x v="1"/>
    <x v="1"/>
  </r>
  <r>
    <n v="12774"/>
    <x v="0"/>
    <x v="0"/>
    <n v="40000"/>
    <n v="1"/>
    <x v="1"/>
    <x v="1"/>
    <x v="0"/>
    <x v="1"/>
    <x v="3"/>
    <x v="2"/>
    <n v="51"/>
    <x v="1"/>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1"/>
    <x v="0"/>
  </r>
  <r>
    <n v="23144"/>
    <x v="0"/>
    <x v="1"/>
    <n v="50000"/>
    <n v="1"/>
    <x v="0"/>
    <x v="0"/>
    <x v="0"/>
    <x v="0"/>
    <x v="0"/>
    <x v="2"/>
    <n v="34"/>
    <x v="2"/>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1"/>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1"/>
    <x v="1"/>
  </r>
  <r>
    <n v="11619"/>
    <x v="1"/>
    <x v="0"/>
    <n v="50000"/>
    <n v="0"/>
    <x v="4"/>
    <x v="0"/>
    <x v="0"/>
    <x v="0"/>
    <x v="3"/>
    <x v="2"/>
    <n v="33"/>
    <x v="2"/>
    <x v="0"/>
  </r>
  <r>
    <n v="29132"/>
    <x v="1"/>
    <x v="0"/>
    <n v="40000"/>
    <n v="0"/>
    <x v="0"/>
    <x v="2"/>
    <x v="0"/>
    <x v="1"/>
    <x v="1"/>
    <x v="2"/>
    <n v="42"/>
    <x v="0"/>
    <x v="1"/>
  </r>
  <r>
    <n v="11199"/>
    <x v="0"/>
    <x v="0"/>
    <n v="70000"/>
    <n v="4"/>
    <x v="0"/>
    <x v="4"/>
    <x v="0"/>
    <x v="1"/>
    <x v="4"/>
    <x v="2"/>
    <n v="59"/>
    <x v="1"/>
    <x v="0"/>
  </r>
  <r>
    <n v="20296"/>
    <x v="1"/>
    <x v="0"/>
    <n v="60000"/>
    <n v="0"/>
    <x v="1"/>
    <x v="0"/>
    <x v="1"/>
    <x v="1"/>
    <x v="3"/>
    <x v="2"/>
    <n v="33"/>
    <x v="2"/>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2"/>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1"/>
    <x v="0"/>
  </r>
  <r>
    <n v="26678"/>
    <x v="1"/>
    <x v="0"/>
    <n v="80000"/>
    <n v="2"/>
    <x v="3"/>
    <x v="0"/>
    <x v="0"/>
    <x v="2"/>
    <x v="2"/>
    <x v="2"/>
    <n v="49"/>
    <x v="1"/>
    <x v="0"/>
  </r>
  <r>
    <n v="23275"/>
    <x v="0"/>
    <x v="1"/>
    <n v="30000"/>
    <n v="2"/>
    <x v="2"/>
    <x v="0"/>
    <x v="0"/>
    <x v="2"/>
    <x v="3"/>
    <x v="2"/>
    <n v="49"/>
    <x v="1"/>
    <x v="0"/>
  </r>
  <r>
    <n v="11270"/>
    <x v="0"/>
    <x v="1"/>
    <n v="130000"/>
    <n v="2"/>
    <x v="4"/>
    <x v="4"/>
    <x v="0"/>
    <x v="4"/>
    <x v="0"/>
    <x v="2"/>
    <n v="42"/>
    <x v="0"/>
    <x v="1"/>
  </r>
  <r>
    <n v="20084"/>
    <x v="0"/>
    <x v="1"/>
    <n v="20000"/>
    <n v="2"/>
    <x v="2"/>
    <x v="3"/>
    <x v="1"/>
    <x v="2"/>
    <x v="0"/>
    <x v="2"/>
    <n v="53"/>
    <x v="1"/>
    <x v="0"/>
  </r>
  <r>
    <n v="16144"/>
    <x v="0"/>
    <x v="1"/>
    <n v="70000"/>
    <n v="1"/>
    <x v="4"/>
    <x v="2"/>
    <x v="0"/>
    <x v="1"/>
    <x v="0"/>
    <x v="2"/>
    <n v="46"/>
    <x v="1"/>
    <x v="1"/>
  </r>
  <r>
    <n v="27731"/>
    <x v="0"/>
    <x v="1"/>
    <n v="40000"/>
    <n v="0"/>
    <x v="2"/>
    <x v="0"/>
    <x v="0"/>
    <x v="2"/>
    <x v="2"/>
    <x v="2"/>
    <n v="27"/>
    <x v="2"/>
    <x v="0"/>
  </r>
  <r>
    <n v="11886"/>
    <x v="0"/>
    <x v="0"/>
    <n v="60000"/>
    <n v="3"/>
    <x v="0"/>
    <x v="2"/>
    <x v="0"/>
    <x v="1"/>
    <x v="0"/>
    <x v="2"/>
    <n v="48"/>
    <x v="1"/>
    <x v="1"/>
  </r>
  <r>
    <n v="24324"/>
    <x v="1"/>
    <x v="0"/>
    <n v="60000"/>
    <n v="4"/>
    <x v="0"/>
    <x v="0"/>
    <x v="0"/>
    <x v="2"/>
    <x v="1"/>
    <x v="2"/>
    <n v="41"/>
    <x v="0"/>
    <x v="1"/>
  </r>
  <r>
    <n v="22220"/>
    <x v="0"/>
    <x v="1"/>
    <n v="60000"/>
    <n v="2"/>
    <x v="2"/>
    <x v="2"/>
    <x v="1"/>
    <x v="2"/>
    <x v="3"/>
    <x v="2"/>
    <n v="49"/>
    <x v="1"/>
    <x v="1"/>
  </r>
  <r>
    <n v="26625"/>
    <x v="1"/>
    <x v="0"/>
    <n v="60000"/>
    <n v="0"/>
    <x v="4"/>
    <x v="2"/>
    <x v="0"/>
    <x v="1"/>
    <x v="1"/>
    <x v="2"/>
    <n v="38"/>
    <x v="0"/>
    <x v="1"/>
  </r>
  <r>
    <n v="23027"/>
    <x v="1"/>
    <x v="1"/>
    <n v="130000"/>
    <n v="1"/>
    <x v="0"/>
    <x v="4"/>
    <x v="1"/>
    <x v="3"/>
    <x v="0"/>
    <x v="2"/>
    <n v="44"/>
    <x v="0"/>
    <x v="0"/>
  </r>
  <r>
    <n v="16867"/>
    <x v="1"/>
    <x v="0"/>
    <n v="130000"/>
    <n v="1"/>
    <x v="0"/>
    <x v="4"/>
    <x v="1"/>
    <x v="4"/>
    <x v="0"/>
    <x v="2"/>
    <n v="45"/>
    <x v="1"/>
    <x v="1"/>
  </r>
  <r>
    <n v="14514"/>
    <x v="1"/>
    <x v="0"/>
    <n v="30000"/>
    <n v="0"/>
    <x v="1"/>
    <x v="0"/>
    <x v="0"/>
    <x v="1"/>
    <x v="2"/>
    <x v="2"/>
    <n v="26"/>
    <x v="2"/>
    <x v="0"/>
  </r>
  <r>
    <n v="19634"/>
    <x v="0"/>
    <x v="1"/>
    <n v="40000"/>
    <n v="0"/>
    <x v="2"/>
    <x v="0"/>
    <x v="0"/>
    <x v="1"/>
    <x v="2"/>
    <x v="2"/>
    <n v="31"/>
    <x v="2"/>
    <x v="0"/>
  </r>
  <r>
    <n v="18504"/>
    <x v="0"/>
    <x v="1"/>
    <n v="70000"/>
    <n v="2"/>
    <x v="3"/>
    <x v="0"/>
    <x v="1"/>
    <x v="2"/>
    <x v="3"/>
    <x v="2"/>
    <n v="49"/>
    <x v="1"/>
    <x v="0"/>
  </r>
  <r>
    <n v="28799"/>
    <x v="1"/>
    <x v="0"/>
    <n v="40000"/>
    <n v="2"/>
    <x v="1"/>
    <x v="1"/>
    <x v="1"/>
    <x v="1"/>
    <x v="3"/>
    <x v="2"/>
    <n v="47"/>
    <x v="1"/>
    <x v="1"/>
  </r>
  <r>
    <n v="11225"/>
    <x v="0"/>
    <x v="0"/>
    <n v="60000"/>
    <n v="2"/>
    <x v="1"/>
    <x v="2"/>
    <x v="0"/>
    <x v="1"/>
    <x v="4"/>
    <x v="2"/>
    <n v="55"/>
    <x v="1"/>
    <x v="0"/>
  </r>
  <r>
    <n v="17657"/>
    <x v="0"/>
    <x v="1"/>
    <n v="40000"/>
    <n v="4"/>
    <x v="1"/>
    <x v="1"/>
    <x v="1"/>
    <x v="0"/>
    <x v="0"/>
    <x v="2"/>
    <n v="30"/>
    <x v="2"/>
    <x v="0"/>
  </r>
  <r>
    <n v="14913"/>
    <x v="0"/>
    <x v="0"/>
    <n v="40000"/>
    <n v="1"/>
    <x v="1"/>
    <x v="1"/>
    <x v="0"/>
    <x v="1"/>
    <x v="3"/>
    <x v="2"/>
    <n v="48"/>
    <x v="1"/>
    <x v="1"/>
  </r>
  <r>
    <n v="14077"/>
    <x v="1"/>
    <x v="1"/>
    <n v="30000"/>
    <n v="0"/>
    <x v="2"/>
    <x v="0"/>
    <x v="0"/>
    <x v="2"/>
    <x v="2"/>
    <x v="2"/>
    <n v="30"/>
    <x v="2"/>
    <x v="0"/>
  </r>
  <r>
    <n v="13296"/>
    <x v="0"/>
    <x v="1"/>
    <n v="110000"/>
    <n v="1"/>
    <x v="0"/>
    <x v="4"/>
    <x v="0"/>
    <x v="4"/>
    <x v="2"/>
    <x v="2"/>
    <n v="45"/>
    <x v="1"/>
    <x v="0"/>
  </r>
  <r>
    <n v="20535"/>
    <x v="0"/>
    <x v="0"/>
    <n v="70000"/>
    <n v="4"/>
    <x v="1"/>
    <x v="2"/>
    <x v="0"/>
    <x v="1"/>
    <x v="4"/>
    <x v="2"/>
    <n v="56"/>
    <x v="1"/>
    <x v="0"/>
  </r>
  <r>
    <n v="12452"/>
    <x v="0"/>
    <x v="1"/>
    <n v="60000"/>
    <n v="4"/>
    <x v="4"/>
    <x v="0"/>
    <x v="0"/>
    <x v="0"/>
    <x v="3"/>
    <x v="2"/>
    <n v="47"/>
    <x v="1"/>
    <x v="1"/>
  </r>
  <r>
    <n v="28043"/>
    <x v="0"/>
    <x v="0"/>
    <n v="60000"/>
    <n v="2"/>
    <x v="0"/>
    <x v="4"/>
    <x v="0"/>
    <x v="0"/>
    <x v="4"/>
    <x v="2"/>
    <n v="56"/>
    <x v="1"/>
    <x v="0"/>
  </r>
  <r>
    <n v="12957"/>
    <x v="1"/>
    <x v="0"/>
    <n v="70000"/>
    <n v="1"/>
    <x v="0"/>
    <x v="2"/>
    <x v="1"/>
    <x v="1"/>
    <x v="0"/>
    <x v="2"/>
    <n v="44"/>
    <x v="0"/>
    <x v="0"/>
  </r>
  <r>
    <n v="15412"/>
    <x v="0"/>
    <x v="1"/>
    <n v="130000"/>
    <n v="2"/>
    <x v="4"/>
    <x v="4"/>
    <x v="0"/>
    <x v="4"/>
    <x v="1"/>
    <x v="2"/>
    <n v="69"/>
    <x v="3"/>
    <x v="0"/>
  </r>
  <r>
    <n v="20514"/>
    <x v="0"/>
    <x v="0"/>
    <n v="70000"/>
    <n v="2"/>
    <x v="1"/>
    <x v="2"/>
    <x v="0"/>
    <x v="1"/>
    <x v="1"/>
    <x v="2"/>
    <n v="59"/>
    <x v="1"/>
    <x v="0"/>
  </r>
  <r>
    <n v="20758"/>
    <x v="0"/>
    <x v="1"/>
    <n v="30000"/>
    <n v="2"/>
    <x v="2"/>
    <x v="0"/>
    <x v="0"/>
    <x v="2"/>
    <x v="3"/>
    <x v="2"/>
    <n v="50"/>
    <x v="1"/>
    <x v="0"/>
  </r>
  <r>
    <n v="11801"/>
    <x v="0"/>
    <x v="1"/>
    <n v="60000"/>
    <n v="1"/>
    <x v="4"/>
    <x v="2"/>
    <x v="0"/>
    <x v="0"/>
    <x v="1"/>
    <x v="2"/>
    <n v="36"/>
    <x v="0"/>
    <x v="0"/>
  </r>
  <r>
    <n v="22211"/>
    <x v="0"/>
    <x v="1"/>
    <n v="60000"/>
    <n v="0"/>
    <x v="1"/>
    <x v="2"/>
    <x v="0"/>
    <x v="2"/>
    <x v="2"/>
    <x v="2"/>
    <n v="32"/>
    <x v="2"/>
    <x v="0"/>
  </r>
  <r>
    <n v="28087"/>
    <x v="1"/>
    <x v="0"/>
    <n v="40000"/>
    <n v="0"/>
    <x v="1"/>
    <x v="0"/>
    <x v="1"/>
    <x v="1"/>
    <x v="3"/>
    <x v="2"/>
    <n v="27"/>
    <x v="2"/>
    <x v="0"/>
  </r>
  <r>
    <n v="23668"/>
    <x v="0"/>
    <x v="0"/>
    <n v="40000"/>
    <n v="4"/>
    <x v="2"/>
    <x v="2"/>
    <x v="0"/>
    <x v="2"/>
    <x v="2"/>
    <x v="2"/>
    <n v="59"/>
    <x v="1"/>
    <x v="1"/>
  </r>
  <r>
    <n v="27441"/>
    <x v="0"/>
    <x v="1"/>
    <n v="60000"/>
    <n v="3"/>
    <x v="2"/>
    <x v="2"/>
    <x v="1"/>
    <x v="2"/>
    <x v="1"/>
    <x v="2"/>
    <n v="53"/>
    <x v="1"/>
    <x v="0"/>
  </r>
  <r>
    <n v="27261"/>
    <x v="0"/>
    <x v="1"/>
    <n v="40000"/>
    <n v="1"/>
    <x v="0"/>
    <x v="0"/>
    <x v="1"/>
    <x v="1"/>
    <x v="0"/>
    <x v="2"/>
    <n v="36"/>
    <x v="0"/>
    <x v="1"/>
  </r>
  <r>
    <n v="18649"/>
    <x v="1"/>
    <x v="1"/>
    <n v="30000"/>
    <n v="1"/>
    <x v="2"/>
    <x v="1"/>
    <x v="0"/>
    <x v="2"/>
    <x v="3"/>
    <x v="2"/>
    <n v="51"/>
    <x v="1"/>
    <x v="1"/>
  </r>
  <r>
    <n v="21714"/>
    <x v="1"/>
    <x v="0"/>
    <n v="80000"/>
    <n v="5"/>
    <x v="4"/>
    <x v="0"/>
    <x v="1"/>
    <x v="0"/>
    <x v="0"/>
    <x v="2"/>
    <n v="47"/>
    <x v="1"/>
    <x v="0"/>
  </r>
  <r>
    <n v="23217"/>
    <x v="1"/>
    <x v="0"/>
    <n v="60000"/>
    <n v="3"/>
    <x v="4"/>
    <x v="2"/>
    <x v="0"/>
    <x v="0"/>
    <x v="1"/>
    <x v="2"/>
    <n v="43"/>
    <x v="0"/>
    <x v="1"/>
  </r>
  <r>
    <n v="23797"/>
    <x v="1"/>
    <x v="1"/>
    <n v="20000"/>
    <n v="3"/>
    <x v="3"/>
    <x v="1"/>
    <x v="1"/>
    <x v="2"/>
    <x v="0"/>
    <x v="2"/>
    <n v="50"/>
    <x v="1"/>
    <x v="0"/>
  </r>
  <r>
    <n v="13216"/>
    <x v="0"/>
    <x v="0"/>
    <n v="60000"/>
    <n v="5"/>
    <x v="0"/>
    <x v="4"/>
    <x v="0"/>
    <x v="4"/>
    <x v="4"/>
    <x v="2"/>
    <n v="59"/>
    <x v="1"/>
    <x v="0"/>
  </r>
  <r>
    <n v="20657"/>
    <x v="1"/>
    <x v="1"/>
    <n v="50000"/>
    <n v="2"/>
    <x v="0"/>
    <x v="0"/>
    <x v="0"/>
    <x v="0"/>
    <x v="1"/>
    <x v="2"/>
    <n v="37"/>
    <x v="0"/>
    <x v="1"/>
  </r>
  <r>
    <n v="12882"/>
    <x v="0"/>
    <x v="1"/>
    <n v="50000"/>
    <n v="1"/>
    <x v="4"/>
    <x v="0"/>
    <x v="0"/>
    <x v="0"/>
    <x v="0"/>
    <x v="2"/>
    <n v="33"/>
    <x v="2"/>
    <x v="1"/>
  </r>
  <r>
    <n v="25908"/>
    <x v="0"/>
    <x v="0"/>
    <n v="60000"/>
    <n v="0"/>
    <x v="1"/>
    <x v="0"/>
    <x v="1"/>
    <x v="1"/>
    <x v="3"/>
    <x v="2"/>
    <n v="27"/>
    <x v="2"/>
    <x v="0"/>
  </r>
  <r>
    <n v="16753"/>
    <x v="1"/>
    <x v="0"/>
    <n v="70000"/>
    <n v="0"/>
    <x v="1"/>
    <x v="0"/>
    <x v="0"/>
    <x v="2"/>
    <x v="2"/>
    <x v="2"/>
    <n v="34"/>
    <x v="2"/>
    <x v="1"/>
  </r>
  <r>
    <n v="14608"/>
    <x v="0"/>
    <x v="1"/>
    <n v="50000"/>
    <n v="4"/>
    <x v="0"/>
    <x v="0"/>
    <x v="0"/>
    <x v="4"/>
    <x v="4"/>
    <x v="2"/>
    <n v="42"/>
    <x v="0"/>
    <x v="0"/>
  </r>
  <r>
    <n v="24979"/>
    <x v="0"/>
    <x v="0"/>
    <n v="60000"/>
    <n v="2"/>
    <x v="1"/>
    <x v="2"/>
    <x v="0"/>
    <x v="2"/>
    <x v="1"/>
    <x v="2"/>
    <n v="57"/>
    <x v="1"/>
    <x v="1"/>
  </r>
  <r>
    <n v="13313"/>
    <x v="0"/>
    <x v="0"/>
    <n v="120000"/>
    <n v="1"/>
    <x v="2"/>
    <x v="2"/>
    <x v="1"/>
    <x v="3"/>
    <x v="1"/>
    <x v="2"/>
    <n v="45"/>
    <x v="1"/>
    <x v="0"/>
  </r>
  <r>
    <n v="18952"/>
    <x v="0"/>
    <x v="0"/>
    <n v="100000"/>
    <n v="4"/>
    <x v="0"/>
    <x v="4"/>
    <x v="0"/>
    <x v="3"/>
    <x v="0"/>
    <x v="2"/>
    <n v="40"/>
    <x v="0"/>
    <x v="0"/>
  </r>
  <r>
    <n v="17699"/>
    <x v="0"/>
    <x v="1"/>
    <n v="60000"/>
    <n v="1"/>
    <x v="4"/>
    <x v="0"/>
    <x v="1"/>
    <x v="0"/>
    <x v="0"/>
    <x v="2"/>
    <n v="55"/>
    <x v="1"/>
    <x v="0"/>
  </r>
  <r>
    <n v="14657"/>
    <x v="0"/>
    <x v="1"/>
    <n v="80000"/>
    <n v="1"/>
    <x v="1"/>
    <x v="0"/>
    <x v="1"/>
    <x v="1"/>
    <x v="0"/>
    <x v="2"/>
    <n v="47"/>
    <x v="1"/>
    <x v="1"/>
  </r>
  <r>
    <n v="11540"/>
    <x v="1"/>
    <x v="1"/>
    <n v="60000"/>
    <n v="4"/>
    <x v="4"/>
    <x v="0"/>
    <x v="0"/>
    <x v="0"/>
    <x v="3"/>
    <x v="2"/>
    <n v="47"/>
    <x v="1"/>
    <x v="1"/>
  </r>
  <r>
    <n v="11783"/>
    <x v="0"/>
    <x v="0"/>
    <n v="60000"/>
    <n v="1"/>
    <x v="4"/>
    <x v="0"/>
    <x v="0"/>
    <x v="0"/>
    <x v="0"/>
    <x v="2"/>
    <n v="34"/>
    <x v="2"/>
    <x v="0"/>
  </r>
  <r>
    <n v="14602"/>
    <x v="0"/>
    <x v="0"/>
    <n v="80000"/>
    <n v="3"/>
    <x v="4"/>
    <x v="2"/>
    <x v="0"/>
    <x v="0"/>
    <x v="0"/>
    <x v="2"/>
    <n v="36"/>
    <x v="0"/>
    <x v="1"/>
  </r>
  <r>
    <n v="29030"/>
    <x v="0"/>
    <x v="1"/>
    <n v="70000"/>
    <n v="2"/>
    <x v="3"/>
    <x v="0"/>
    <x v="0"/>
    <x v="2"/>
    <x v="4"/>
    <x v="2"/>
    <n v="54"/>
    <x v="1"/>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1"/>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1"/>
    <x v="1"/>
  </r>
  <r>
    <n v="24496"/>
    <x v="1"/>
    <x v="0"/>
    <n v="40000"/>
    <n v="0"/>
    <x v="2"/>
    <x v="0"/>
    <x v="1"/>
    <x v="2"/>
    <x v="0"/>
    <x v="2"/>
    <n v="28"/>
    <x v="2"/>
    <x v="1"/>
  </r>
  <r>
    <n v="15468"/>
    <x v="0"/>
    <x v="0"/>
    <n v="50000"/>
    <n v="1"/>
    <x v="0"/>
    <x v="0"/>
    <x v="0"/>
    <x v="1"/>
    <x v="0"/>
    <x v="2"/>
    <n v="35"/>
    <x v="2"/>
    <x v="0"/>
  </r>
  <r>
    <n v="28031"/>
    <x v="1"/>
    <x v="0"/>
    <n v="70000"/>
    <n v="2"/>
    <x v="0"/>
    <x v="4"/>
    <x v="1"/>
    <x v="1"/>
    <x v="1"/>
    <x v="2"/>
    <n v="59"/>
    <x v="1"/>
    <x v="1"/>
  </r>
  <r>
    <n v="26270"/>
    <x v="1"/>
    <x v="0"/>
    <n v="20000"/>
    <n v="2"/>
    <x v="3"/>
    <x v="1"/>
    <x v="0"/>
    <x v="2"/>
    <x v="3"/>
    <x v="2"/>
    <n v="49"/>
    <x v="1"/>
    <x v="0"/>
  </r>
  <r>
    <n v="22221"/>
    <x v="0"/>
    <x v="1"/>
    <n v="60000"/>
    <n v="2"/>
    <x v="2"/>
    <x v="2"/>
    <x v="1"/>
    <x v="2"/>
    <x v="3"/>
    <x v="2"/>
    <n v="48"/>
    <x v="1"/>
    <x v="1"/>
  </r>
  <r>
    <n v="28228"/>
    <x v="1"/>
    <x v="0"/>
    <n v="80000"/>
    <n v="2"/>
    <x v="3"/>
    <x v="0"/>
    <x v="1"/>
    <x v="2"/>
    <x v="3"/>
    <x v="2"/>
    <n v="50"/>
    <x v="1"/>
    <x v="0"/>
  </r>
  <r>
    <n v="18363"/>
    <x v="0"/>
    <x v="1"/>
    <n v="40000"/>
    <n v="0"/>
    <x v="2"/>
    <x v="0"/>
    <x v="0"/>
    <x v="2"/>
    <x v="2"/>
    <x v="2"/>
    <n v="28"/>
    <x v="2"/>
    <x v="1"/>
  </r>
  <r>
    <n v="23256"/>
    <x v="1"/>
    <x v="1"/>
    <n v="30000"/>
    <n v="1"/>
    <x v="2"/>
    <x v="1"/>
    <x v="1"/>
    <x v="1"/>
    <x v="2"/>
    <x v="2"/>
    <n v="52"/>
    <x v="1"/>
    <x v="0"/>
  </r>
  <r>
    <n v="12768"/>
    <x v="0"/>
    <x v="1"/>
    <n v="30000"/>
    <n v="1"/>
    <x v="2"/>
    <x v="1"/>
    <x v="0"/>
    <x v="1"/>
    <x v="1"/>
    <x v="2"/>
    <n v="52"/>
    <x v="1"/>
    <x v="1"/>
  </r>
  <r>
    <n v="20361"/>
    <x v="0"/>
    <x v="1"/>
    <n v="50000"/>
    <n v="2"/>
    <x v="4"/>
    <x v="4"/>
    <x v="0"/>
    <x v="2"/>
    <x v="2"/>
    <x v="2"/>
    <n v="69"/>
    <x v="3"/>
    <x v="0"/>
  </r>
  <r>
    <n v="21306"/>
    <x v="1"/>
    <x v="1"/>
    <n v="60000"/>
    <n v="2"/>
    <x v="2"/>
    <x v="2"/>
    <x v="0"/>
    <x v="2"/>
    <x v="2"/>
    <x v="2"/>
    <n v="51"/>
    <x v="1"/>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2"/>
    <x v="1"/>
  </r>
  <r>
    <n v="15532"/>
    <x v="1"/>
    <x v="1"/>
    <n v="60000"/>
    <n v="4"/>
    <x v="0"/>
    <x v="2"/>
    <x v="0"/>
    <x v="2"/>
    <x v="1"/>
    <x v="2"/>
    <n v="43"/>
    <x v="0"/>
    <x v="1"/>
  </r>
  <r>
    <n v="11255"/>
    <x v="0"/>
    <x v="1"/>
    <n v="70000"/>
    <n v="4"/>
    <x v="4"/>
    <x v="4"/>
    <x v="0"/>
    <x v="2"/>
    <x v="2"/>
    <x v="2"/>
    <n v="73"/>
    <x v="3"/>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2"/>
    <x v="0"/>
  </r>
  <r>
    <n v="23248"/>
    <x v="0"/>
    <x v="0"/>
    <n v="10000"/>
    <n v="2"/>
    <x v="2"/>
    <x v="3"/>
    <x v="0"/>
    <x v="2"/>
    <x v="3"/>
    <x v="2"/>
    <n v="53"/>
    <x v="1"/>
    <x v="0"/>
  </r>
  <r>
    <n v="21417"/>
    <x v="1"/>
    <x v="0"/>
    <n v="60000"/>
    <n v="0"/>
    <x v="1"/>
    <x v="2"/>
    <x v="1"/>
    <x v="2"/>
    <x v="3"/>
    <x v="2"/>
    <n v="32"/>
    <x v="2"/>
    <x v="1"/>
  </r>
  <r>
    <n v="17668"/>
    <x v="1"/>
    <x v="1"/>
    <n v="30000"/>
    <n v="2"/>
    <x v="2"/>
    <x v="0"/>
    <x v="0"/>
    <x v="2"/>
    <x v="3"/>
    <x v="2"/>
    <n v="50"/>
    <x v="1"/>
    <x v="1"/>
  </r>
  <r>
    <n v="27994"/>
    <x v="0"/>
    <x v="0"/>
    <n v="40000"/>
    <n v="4"/>
    <x v="2"/>
    <x v="2"/>
    <x v="0"/>
    <x v="2"/>
    <x v="2"/>
    <x v="2"/>
    <n v="69"/>
    <x v="3"/>
    <x v="0"/>
  </r>
  <r>
    <n v="20376"/>
    <x v="1"/>
    <x v="0"/>
    <n v="70000"/>
    <n v="3"/>
    <x v="4"/>
    <x v="4"/>
    <x v="0"/>
    <x v="2"/>
    <x v="2"/>
    <x v="2"/>
    <n v="52"/>
    <x v="1"/>
    <x v="1"/>
  </r>
  <r>
    <n v="25954"/>
    <x v="0"/>
    <x v="1"/>
    <n v="60000"/>
    <n v="0"/>
    <x v="1"/>
    <x v="0"/>
    <x v="1"/>
    <x v="2"/>
    <x v="3"/>
    <x v="2"/>
    <n v="31"/>
    <x v="2"/>
    <x v="0"/>
  </r>
  <r>
    <n v="15749"/>
    <x v="1"/>
    <x v="0"/>
    <n v="70000"/>
    <n v="4"/>
    <x v="0"/>
    <x v="4"/>
    <x v="0"/>
    <x v="2"/>
    <x v="4"/>
    <x v="2"/>
    <n v="61"/>
    <x v="1"/>
    <x v="0"/>
  </r>
  <r>
    <n v="25899"/>
    <x v="0"/>
    <x v="0"/>
    <n v="70000"/>
    <n v="2"/>
    <x v="2"/>
    <x v="2"/>
    <x v="0"/>
    <x v="2"/>
    <x v="4"/>
    <x v="2"/>
    <n v="53"/>
    <x v="1"/>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2"/>
    <x v="1"/>
  </r>
  <r>
    <n v="14271"/>
    <x v="0"/>
    <x v="1"/>
    <n v="30000"/>
    <n v="0"/>
    <x v="2"/>
    <x v="0"/>
    <x v="0"/>
    <x v="2"/>
    <x v="2"/>
    <x v="2"/>
    <n v="32"/>
    <x v="2"/>
    <x v="0"/>
  </r>
  <r>
    <n v="23041"/>
    <x v="1"/>
    <x v="0"/>
    <n v="70000"/>
    <n v="4"/>
    <x v="2"/>
    <x v="2"/>
    <x v="0"/>
    <x v="0"/>
    <x v="2"/>
    <x v="2"/>
    <n v="50"/>
    <x v="1"/>
    <x v="1"/>
  </r>
  <r>
    <n v="29048"/>
    <x v="1"/>
    <x v="1"/>
    <n v="110000"/>
    <n v="2"/>
    <x v="0"/>
    <x v="4"/>
    <x v="1"/>
    <x v="4"/>
    <x v="0"/>
    <x v="2"/>
    <n v="37"/>
    <x v="0"/>
    <x v="1"/>
  </r>
  <r>
    <n v="24433"/>
    <x v="0"/>
    <x v="1"/>
    <n v="70000"/>
    <n v="3"/>
    <x v="2"/>
    <x v="2"/>
    <x v="1"/>
    <x v="1"/>
    <x v="3"/>
    <x v="2"/>
    <n v="52"/>
    <x v="1"/>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3"/>
    <x v="0"/>
  </r>
  <r>
    <n v="18411"/>
    <x v="0"/>
    <x v="1"/>
    <n v="60000"/>
    <n v="2"/>
    <x v="2"/>
    <x v="2"/>
    <x v="1"/>
    <x v="2"/>
    <x v="2"/>
    <x v="2"/>
    <n v="51"/>
    <x v="1"/>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1"/>
    <x v="1"/>
  </r>
  <r>
    <n v="12922"/>
    <x v="1"/>
    <x v="0"/>
    <n v="60000"/>
    <n v="3"/>
    <x v="0"/>
    <x v="0"/>
    <x v="0"/>
    <x v="0"/>
    <x v="1"/>
    <x v="2"/>
    <n v="40"/>
    <x v="0"/>
    <x v="1"/>
  </r>
  <r>
    <n v="18891"/>
    <x v="0"/>
    <x v="0"/>
    <n v="40000"/>
    <n v="0"/>
    <x v="1"/>
    <x v="0"/>
    <x v="0"/>
    <x v="2"/>
    <x v="2"/>
    <x v="2"/>
    <n v="28"/>
    <x v="2"/>
    <x v="0"/>
  </r>
  <r>
    <n v="16773"/>
    <x v="0"/>
    <x v="1"/>
    <n v="60000"/>
    <n v="1"/>
    <x v="4"/>
    <x v="0"/>
    <x v="0"/>
    <x v="0"/>
    <x v="0"/>
    <x v="2"/>
    <n v="33"/>
    <x v="2"/>
    <x v="0"/>
  </r>
  <r>
    <n v="19143"/>
    <x v="1"/>
    <x v="0"/>
    <n v="80000"/>
    <n v="3"/>
    <x v="0"/>
    <x v="0"/>
    <x v="0"/>
    <x v="2"/>
    <x v="1"/>
    <x v="2"/>
    <n v="41"/>
    <x v="0"/>
    <x v="1"/>
  </r>
  <r>
    <n v="23882"/>
    <x v="1"/>
    <x v="0"/>
    <n v="80000"/>
    <n v="3"/>
    <x v="4"/>
    <x v="2"/>
    <x v="0"/>
    <x v="0"/>
    <x v="0"/>
    <x v="2"/>
    <n v="37"/>
    <x v="0"/>
    <x v="1"/>
  </r>
  <r>
    <n v="11233"/>
    <x v="0"/>
    <x v="1"/>
    <n v="70000"/>
    <n v="4"/>
    <x v="1"/>
    <x v="2"/>
    <x v="0"/>
    <x v="2"/>
    <x v="4"/>
    <x v="2"/>
    <n v="53"/>
    <x v="1"/>
    <x v="0"/>
  </r>
  <r>
    <n v="12056"/>
    <x v="0"/>
    <x v="1"/>
    <n v="120000"/>
    <n v="2"/>
    <x v="4"/>
    <x v="4"/>
    <x v="0"/>
    <x v="4"/>
    <x v="2"/>
    <x v="2"/>
    <n v="64"/>
    <x v="1"/>
    <x v="0"/>
  </r>
  <r>
    <n v="15555"/>
    <x v="0"/>
    <x v="0"/>
    <n v="60000"/>
    <n v="1"/>
    <x v="1"/>
    <x v="0"/>
    <x v="0"/>
    <x v="1"/>
    <x v="1"/>
    <x v="2"/>
    <n v="45"/>
    <x v="1"/>
    <x v="1"/>
  </r>
  <r>
    <n v="18423"/>
    <x v="1"/>
    <x v="1"/>
    <n v="80000"/>
    <n v="2"/>
    <x v="3"/>
    <x v="0"/>
    <x v="1"/>
    <x v="2"/>
    <x v="3"/>
    <x v="2"/>
    <n v="52"/>
    <x v="1"/>
    <x v="0"/>
  </r>
  <r>
    <n v="22743"/>
    <x v="0"/>
    <x v="0"/>
    <n v="40000"/>
    <n v="5"/>
    <x v="2"/>
    <x v="2"/>
    <x v="0"/>
    <x v="2"/>
    <x v="4"/>
    <x v="2"/>
    <n v="60"/>
    <x v="1"/>
    <x v="0"/>
  </r>
  <r>
    <n v="25343"/>
    <x v="1"/>
    <x v="0"/>
    <n v="20000"/>
    <n v="3"/>
    <x v="3"/>
    <x v="1"/>
    <x v="0"/>
    <x v="2"/>
    <x v="3"/>
    <x v="2"/>
    <n v="50"/>
    <x v="1"/>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3"/>
    <x v="0"/>
  </r>
  <r>
    <n v="16751"/>
    <x v="0"/>
    <x v="1"/>
    <n v="60000"/>
    <n v="0"/>
    <x v="1"/>
    <x v="0"/>
    <x v="0"/>
    <x v="1"/>
    <x v="2"/>
    <x v="2"/>
    <n v="32"/>
    <x v="2"/>
    <x v="1"/>
  </r>
  <r>
    <n v="21613"/>
    <x v="1"/>
    <x v="1"/>
    <n v="50000"/>
    <n v="2"/>
    <x v="0"/>
    <x v="0"/>
    <x v="1"/>
    <x v="1"/>
    <x v="0"/>
    <x v="2"/>
    <n v="39"/>
    <x v="0"/>
    <x v="1"/>
  </r>
  <r>
    <n v="24801"/>
    <x v="1"/>
    <x v="1"/>
    <n v="60000"/>
    <n v="1"/>
    <x v="4"/>
    <x v="2"/>
    <x v="0"/>
    <x v="0"/>
    <x v="1"/>
    <x v="2"/>
    <n v="35"/>
    <x v="2"/>
    <x v="1"/>
  </r>
  <r>
    <n v="17519"/>
    <x v="0"/>
    <x v="0"/>
    <n v="60000"/>
    <n v="0"/>
    <x v="1"/>
    <x v="2"/>
    <x v="0"/>
    <x v="2"/>
    <x v="2"/>
    <x v="2"/>
    <n v="32"/>
    <x v="2"/>
    <x v="0"/>
  </r>
  <r>
    <n v="18347"/>
    <x v="1"/>
    <x v="0"/>
    <n v="30000"/>
    <n v="0"/>
    <x v="1"/>
    <x v="0"/>
    <x v="1"/>
    <x v="1"/>
    <x v="3"/>
    <x v="2"/>
    <n v="31"/>
    <x v="2"/>
    <x v="0"/>
  </r>
  <r>
    <n v="29052"/>
    <x v="1"/>
    <x v="1"/>
    <n v="40000"/>
    <n v="0"/>
    <x v="1"/>
    <x v="0"/>
    <x v="0"/>
    <x v="1"/>
    <x v="2"/>
    <x v="2"/>
    <n v="27"/>
    <x v="2"/>
    <x v="0"/>
  </r>
  <r>
    <n v="11745"/>
    <x v="0"/>
    <x v="0"/>
    <n v="60000"/>
    <n v="1"/>
    <x v="0"/>
    <x v="2"/>
    <x v="0"/>
    <x v="1"/>
    <x v="0"/>
    <x v="2"/>
    <n v="47"/>
    <x v="1"/>
    <x v="1"/>
  </r>
  <r>
    <n v="19147"/>
    <x v="0"/>
    <x v="1"/>
    <n v="40000"/>
    <n v="0"/>
    <x v="0"/>
    <x v="2"/>
    <x v="1"/>
    <x v="1"/>
    <x v="0"/>
    <x v="2"/>
    <n v="42"/>
    <x v="0"/>
    <x v="0"/>
  </r>
  <r>
    <n v="19217"/>
    <x v="0"/>
    <x v="1"/>
    <n v="30000"/>
    <n v="2"/>
    <x v="2"/>
    <x v="0"/>
    <x v="0"/>
    <x v="2"/>
    <x v="3"/>
    <x v="2"/>
    <n v="49"/>
    <x v="1"/>
    <x v="0"/>
  </r>
  <r>
    <n v="15839"/>
    <x v="1"/>
    <x v="1"/>
    <n v="30000"/>
    <n v="0"/>
    <x v="1"/>
    <x v="0"/>
    <x v="0"/>
    <x v="1"/>
    <x v="2"/>
    <x v="2"/>
    <n v="32"/>
    <x v="2"/>
    <x v="0"/>
  </r>
  <r>
    <n v="13714"/>
    <x v="0"/>
    <x v="0"/>
    <n v="20000"/>
    <n v="2"/>
    <x v="2"/>
    <x v="3"/>
    <x v="1"/>
    <x v="2"/>
    <x v="3"/>
    <x v="2"/>
    <n v="53"/>
    <x v="1"/>
    <x v="1"/>
  </r>
  <r>
    <n v="22330"/>
    <x v="0"/>
    <x v="1"/>
    <n v="50000"/>
    <n v="0"/>
    <x v="4"/>
    <x v="0"/>
    <x v="0"/>
    <x v="0"/>
    <x v="3"/>
    <x v="2"/>
    <n v="32"/>
    <x v="2"/>
    <x v="1"/>
  </r>
  <r>
    <n v="18783"/>
    <x v="1"/>
    <x v="1"/>
    <n v="80000"/>
    <n v="0"/>
    <x v="0"/>
    <x v="4"/>
    <x v="1"/>
    <x v="1"/>
    <x v="0"/>
    <x v="2"/>
    <n v="38"/>
    <x v="0"/>
    <x v="1"/>
  </r>
  <r>
    <n v="25041"/>
    <x v="1"/>
    <x v="1"/>
    <n v="40000"/>
    <n v="0"/>
    <x v="2"/>
    <x v="0"/>
    <x v="0"/>
    <x v="2"/>
    <x v="2"/>
    <x v="2"/>
    <n v="31"/>
    <x v="2"/>
    <x v="0"/>
  </r>
  <r>
    <n v="22046"/>
    <x v="1"/>
    <x v="0"/>
    <n v="80000"/>
    <n v="0"/>
    <x v="0"/>
    <x v="4"/>
    <x v="1"/>
    <x v="1"/>
    <x v="0"/>
    <x v="2"/>
    <n v="38"/>
    <x v="0"/>
    <x v="1"/>
  </r>
  <r>
    <n v="28052"/>
    <x v="0"/>
    <x v="1"/>
    <n v="60000"/>
    <n v="2"/>
    <x v="2"/>
    <x v="2"/>
    <x v="0"/>
    <x v="2"/>
    <x v="4"/>
    <x v="2"/>
    <n v="55"/>
    <x v="1"/>
    <x v="0"/>
  </r>
  <r>
    <n v="26693"/>
    <x v="0"/>
    <x v="1"/>
    <n v="70000"/>
    <n v="3"/>
    <x v="1"/>
    <x v="2"/>
    <x v="0"/>
    <x v="1"/>
    <x v="2"/>
    <x v="2"/>
    <n v="49"/>
    <x v="1"/>
    <x v="0"/>
  </r>
  <r>
    <n v="24955"/>
    <x v="1"/>
    <x v="1"/>
    <n v="30000"/>
    <n v="5"/>
    <x v="3"/>
    <x v="0"/>
    <x v="0"/>
    <x v="4"/>
    <x v="4"/>
    <x v="2"/>
    <n v="60"/>
    <x v="1"/>
    <x v="1"/>
  </r>
  <r>
    <n v="26065"/>
    <x v="1"/>
    <x v="0"/>
    <n v="110000"/>
    <n v="3"/>
    <x v="0"/>
    <x v="4"/>
    <x v="1"/>
    <x v="3"/>
    <x v="3"/>
    <x v="2"/>
    <n v="42"/>
    <x v="0"/>
    <x v="0"/>
  </r>
  <r>
    <n v="13942"/>
    <x v="0"/>
    <x v="1"/>
    <n v="60000"/>
    <n v="1"/>
    <x v="1"/>
    <x v="0"/>
    <x v="0"/>
    <x v="1"/>
    <x v="0"/>
    <x v="2"/>
    <n v="46"/>
    <x v="1"/>
    <x v="0"/>
  </r>
  <r>
    <n v="11219"/>
    <x v="0"/>
    <x v="1"/>
    <n v="60000"/>
    <n v="2"/>
    <x v="2"/>
    <x v="2"/>
    <x v="0"/>
    <x v="2"/>
    <x v="4"/>
    <x v="2"/>
    <n v="55"/>
    <x v="1"/>
    <x v="0"/>
  </r>
  <r>
    <n v="22118"/>
    <x v="1"/>
    <x v="0"/>
    <n v="70000"/>
    <n v="3"/>
    <x v="4"/>
    <x v="4"/>
    <x v="0"/>
    <x v="2"/>
    <x v="2"/>
    <x v="2"/>
    <n v="53"/>
    <x v="1"/>
    <x v="1"/>
  </r>
  <r>
    <n v="23197"/>
    <x v="0"/>
    <x v="1"/>
    <n v="50000"/>
    <n v="3"/>
    <x v="0"/>
    <x v="0"/>
    <x v="0"/>
    <x v="2"/>
    <x v="1"/>
    <x v="2"/>
    <n v="40"/>
    <x v="0"/>
    <x v="0"/>
  </r>
  <r>
    <n v="14883"/>
    <x v="0"/>
    <x v="0"/>
    <n v="30000"/>
    <n v="1"/>
    <x v="0"/>
    <x v="0"/>
    <x v="0"/>
    <x v="1"/>
    <x v="2"/>
    <x v="2"/>
    <n v="53"/>
    <x v="1"/>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3"/>
    <x v="0"/>
  </r>
  <r>
    <n v="24416"/>
    <x v="0"/>
    <x v="1"/>
    <n v="90000"/>
    <n v="4"/>
    <x v="2"/>
    <x v="2"/>
    <x v="0"/>
    <x v="2"/>
    <x v="3"/>
    <x v="2"/>
    <n v="45"/>
    <x v="1"/>
    <x v="0"/>
  </r>
  <r>
    <n v="28066"/>
    <x v="0"/>
    <x v="1"/>
    <n v="80000"/>
    <n v="2"/>
    <x v="4"/>
    <x v="2"/>
    <x v="0"/>
    <x v="0"/>
    <x v="0"/>
    <x v="2"/>
    <n v="37"/>
    <x v="0"/>
    <x v="1"/>
  </r>
  <r>
    <n v="11275"/>
    <x v="0"/>
    <x v="0"/>
    <n v="80000"/>
    <n v="4"/>
    <x v="4"/>
    <x v="4"/>
    <x v="0"/>
    <x v="2"/>
    <x v="0"/>
    <x v="2"/>
    <n v="72"/>
    <x v="3"/>
    <x v="1"/>
  </r>
  <r>
    <n v="14872"/>
    <x v="0"/>
    <x v="1"/>
    <n v="30000"/>
    <n v="0"/>
    <x v="4"/>
    <x v="0"/>
    <x v="0"/>
    <x v="0"/>
    <x v="0"/>
    <x v="2"/>
    <n v="32"/>
    <x v="2"/>
    <x v="0"/>
  </r>
  <r>
    <n v="16151"/>
    <x v="0"/>
    <x v="0"/>
    <n v="60000"/>
    <n v="1"/>
    <x v="0"/>
    <x v="2"/>
    <x v="0"/>
    <x v="1"/>
    <x v="1"/>
    <x v="2"/>
    <n v="48"/>
    <x v="1"/>
    <x v="1"/>
  </r>
  <r>
    <n v="19731"/>
    <x v="0"/>
    <x v="1"/>
    <n v="80000"/>
    <n v="4"/>
    <x v="4"/>
    <x v="4"/>
    <x v="0"/>
    <x v="2"/>
    <x v="2"/>
    <x v="2"/>
    <n v="68"/>
    <x v="3"/>
    <x v="0"/>
  </r>
  <r>
    <n v="23801"/>
    <x v="0"/>
    <x v="0"/>
    <n v="20000"/>
    <n v="2"/>
    <x v="3"/>
    <x v="1"/>
    <x v="0"/>
    <x v="2"/>
    <x v="0"/>
    <x v="2"/>
    <n v="49"/>
    <x v="1"/>
    <x v="0"/>
  </r>
  <r>
    <n v="11807"/>
    <x v="0"/>
    <x v="1"/>
    <n v="70000"/>
    <n v="3"/>
    <x v="4"/>
    <x v="2"/>
    <x v="0"/>
    <x v="0"/>
    <x v="1"/>
    <x v="2"/>
    <n v="34"/>
    <x v="2"/>
    <x v="0"/>
  </r>
  <r>
    <n v="11622"/>
    <x v="0"/>
    <x v="1"/>
    <n v="50000"/>
    <n v="0"/>
    <x v="4"/>
    <x v="0"/>
    <x v="0"/>
    <x v="0"/>
    <x v="0"/>
    <x v="2"/>
    <n v="32"/>
    <x v="2"/>
    <x v="0"/>
  </r>
  <r>
    <n v="26597"/>
    <x v="1"/>
    <x v="0"/>
    <n v="60000"/>
    <n v="4"/>
    <x v="0"/>
    <x v="0"/>
    <x v="1"/>
    <x v="2"/>
    <x v="0"/>
    <x v="2"/>
    <n v="42"/>
    <x v="0"/>
    <x v="0"/>
  </r>
  <r>
    <n v="27074"/>
    <x v="0"/>
    <x v="0"/>
    <n v="70000"/>
    <n v="1"/>
    <x v="4"/>
    <x v="0"/>
    <x v="0"/>
    <x v="0"/>
    <x v="0"/>
    <x v="2"/>
    <n v="35"/>
    <x v="2"/>
    <x v="1"/>
  </r>
  <r>
    <n v="19228"/>
    <x v="0"/>
    <x v="0"/>
    <n v="40000"/>
    <n v="2"/>
    <x v="1"/>
    <x v="1"/>
    <x v="0"/>
    <x v="1"/>
    <x v="0"/>
    <x v="2"/>
    <n v="48"/>
    <x v="1"/>
    <x v="0"/>
  </r>
  <r>
    <n v="13415"/>
    <x v="1"/>
    <x v="1"/>
    <n v="100000"/>
    <n v="1"/>
    <x v="4"/>
    <x v="4"/>
    <x v="0"/>
    <x v="4"/>
    <x v="1"/>
    <x v="2"/>
    <n v="73"/>
    <x v="3"/>
    <x v="1"/>
  </r>
  <r>
    <n v="17000"/>
    <x v="1"/>
    <x v="0"/>
    <n v="70000"/>
    <n v="4"/>
    <x v="0"/>
    <x v="0"/>
    <x v="0"/>
    <x v="2"/>
    <x v="1"/>
    <x v="2"/>
    <n v="43"/>
    <x v="0"/>
    <x v="1"/>
  </r>
  <r>
    <n v="14569"/>
    <x v="0"/>
    <x v="1"/>
    <n v="60000"/>
    <n v="1"/>
    <x v="4"/>
    <x v="2"/>
    <x v="0"/>
    <x v="0"/>
    <x v="0"/>
    <x v="2"/>
    <n v="35"/>
    <x v="2"/>
    <x v="0"/>
  </r>
  <r>
    <n v="13873"/>
    <x v="0"/>
    <x v="1"/>
    <n v="70000"/>
    <n v="3"/>
    <x v="4"/>
    <x v="2"/>
    <x v="0"/>
    <x v="0"/>
    <x v="0"/>
    <x v="2"/>
    <n v="35"/>
    <x v="2"/>
    <x v="1"/>
  </r>
  <r>
    <n v="20401"/>
    <x v="0"/>
    <x v="0"/>
    <n v="50000"/>
    <n v="4"/>
    <x v="0"/>
    <x v="4"/>
    <x v="0"/>
    <x v="2"/>
    <x v="3"/>
    <x v="2"/>
    <n v="64"/>
    <x v="1"/>
    <x v="1"/>
  </r>
  <r>
    <n v="21583"/>
    <x v="0"/>
    <x v="0"/>
    <n v="50000"/>
    <n v="1"/>
    <x v="0"/>
    <x v="0"/>
    <x v="0"/>
    <x v="0"/>
    <x v="0"/>
    <x v="2"/>
    <n v="34"/>
    <x v="2"/>
    <x v="1"/>
  </r>
  <r>
    <n v="12029"/>
    <x v="0"/>
    <x v="1"/>
    <n v="30000"/>
    <n v="0"/>
    <x v="3"/>
    <x v="1"/>
    <x v="1"/>
    <x v="2"/>
    <x v="0"/>
    <x v="2"/>
    <n v="28"/>
    <x v="2"/>
    <x v="0"/>
  </r>
  <r>
    <n v="18066"/>
    <x v="1"/>
    <x v="1"/>
    <n v="70000"/>
    <n v="5"/>
    <x v="0"/>
    <x v="4"/>
    <x v="0"/>
    <x v="4"/>
    <x v="4"/>
    <x v="2"/>
    <n v="60"/>
    <x v="1"/>
    <x v="1"/>
  </r>
  <r>
    <n v="28192"/>
    <x v="0"/>
    <x v="0"/>
    <n v="70000"/>
    <n v="5"/>
    <x v="4"/>
    <x v="2"/>
    <x v="0"/>
    <x v="4"/>
    <x v="4"/>
    <x v="2"/>
    <n v="46"/>
    <x v="1"/>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3"/>
    <x v="0"/>
  </r>
  <r>
    <n v="26305"/>
    <x v="1"/>
    <x v="0"/>
    <n v="60000"/>
    <n v="2"/>
    <x v="0"/>
    <x v="0"/>
    <x v="1"/>
    <x v="0"/>
    <x v="0"/>
    <x v="2"/>
    <n v="36"/>
    <x v="0"/>
    <x v="1"/>
  </r>
  <r>
    <n v="22050"/>
    <x v="1"/>
    <x v="1"/>
    <n v="90000"/>
    <n v="4"/>
    <x v="0"/>
    <x v="4"/>
    <x v="0"/>
    <x v="1"/>
    <x v="3"/>
    <x v="2"/>
    <n v="38"/>
    <x v="0"/>
    <x v="1"/>
  </r>
  <r>
    <n v="25394"/>
    <x v="0"/>
    <x v="1"/>
    <n v="60000"/>
    <n v="1"/>
    <x v="4"/>
    <x v="2"/>
    <x v="0"/>
    <x v="0"/>
    <x v="1"/>
    <x v="2"/>
    <n v="34"/>
    <x v="2"/>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1"/>
    <x v="0"/>
  </r>
  <r>
    <n v="13337"/>
    <x v="0"/>
    <x v="0"/>
    <n v="80000"/>
    <n v="5"/>
    <x v="0"/>
    <x v="4"/>
    <x v="0"/>
    <x v="2"/>
    <x v="2"/>
    <x v="2"/>
    <n v="64"/>
    <x v="1"/>
    <x v="0"/>
  </r>
  <r>
    <n v="27190"/>
    <x v="0"/>
    <x v="0"/>
    <n v="40000"/>
    <n v="3"/>
    <x v="1"/>
    <x v="1"/>
    <x v="0"/>
    <x v="1"/>
    <x v="3"/>
    <x v="2"/>
    <n v="32"/>
    <x v="2"/>
    <x v="0"/>
  </r>
  <r>
    <n v="28657"/>
    <x v="1"/>
    <x v="1"/>
    <n v="60000"/>
    <n v="2"/>
    <x v="0"/>
    <x v="0"/>
    <x v="0"/>
    <x v="0"/>
    <x v="1"/>
    <x v="2"/>
    <n v="36"/>
    <x v="0"/>
    <x v="1"/>
  </r>
  <r>
    <n v="21713"/>
    <x v="1"/>
    <x v="1"/>
    <n v="80000"/>
    <n v="5"/>
    <x v="4"/>
    <x v="0"/>
    <x v="1"/>
    <x v="0"/>
    <x v="0"/>
    <x v="2"/>
    <n v="47"/>
    <x v="1"/>
    <x v="0"/>
  </r>
  <r>
    <n v="21752"/>
    <x v="0"/>
    <x v="1"/>
    <n v="60000"/>
    <n v="3"/>
    <x v="4"/>
    <x v="4"/>
    <x v="0"/>
    <x v="2"/>
    <x v="4"/>
    <x v="2"/>
    <n v="64"/>
    <x v="1"/>
    <x v="0"/>
  </r>
  <r>
    <n v="27273"/>
    <x v="1"/>
    <x v="1"/>
    <n v="70000"/>
    <n v="3"/>
    <x v="4"/>
    <x v="2"/>
    <x v="1"/>
    <x v="0"/>
    <x v="0"/>
    <x v="2"/>
    <n v="35"/>
    <x v="2"/>
    <x v="1"/>
  </r>
  <r>
    <n v="22719"/>
    <x v="1"/>
    <x v="1"/>
    <n v="110000"/>
    <n v="3"/>
    <x v="0"/>
    <x v="4"/>
    <x v="0"/>
    <x v="3"/>
    <x v="1"/>
    <x v="2"/>
    <n v="40"/>
    <x v="0"/>
    <x v="1"/>
  </r>
  <r>
    <n v="22042"/>
    <x v="0"/>
    <x v="0"/>
    <n v="70000"/>
    <n v="0"/>
    <x v="1"/>
    <x v="0"/>
    <x v="0"/>
    <x v="2"/>
    <x v="2"/>
    <x v="2"/>
    <n v="34"/>
    <x v="2"/>
    <x v="1"/>
  </r>
  <r>
    <n v="21451"/>
    <x v="0"/>
    <x v="0"/>
    <n v="40000"/>
    <n v="4"/>
    <x v="2"/>
    <x v="2"/>
    <x v="0"/>
    <x v="2"/>
    <x v="4"/>
    <x v="2"/>
    <n v="61"/>
    <x v="1"/>
    <x v="0"/>
  </r>
  <r>
    <n v="20754"/>
    <x v="0"/>
    <x v="1"/>
    <n v="30000"/>
    <n v="2"/>
    <x v="2"/>
    <x v="0"/>
    <x v="0"/>
    <x v="2"/>
    <x v="3"/>
    <x v="2"/>
    <n v="51"/>
    <x v="1"/>
    <x v="0"/>
  </r>
  <r>
    <n v="12153"/>
    <x v="1"/>
    <x v="0"/>
    <n v="70000"/>
    <n v="3"/>
    <x v="1"/>
    <x v="2"/>
    <x v="0"/>
    <x v="1"/>
    <x v="2"/>
    <x v="2"/>
    <n v="49"/>
    <x v="1"/>
    <x v="1"/>
  </r>
  <r>
    <n v="16895"/>
    <x v="0"/>
    <x v="0"/>
    <n v="40000"/>
    <n v="3"/>
    <x v="1"/>
    <x v="2"/>
    <x v="1"/>
    <x v="2"/>
    <x v="3"/>
    <x v="2"/>
    <n v="54"/>
    <x v="1"/>
    <x v="1"/>
  </r>
  <r>
    <n v="26728"/>
    <x v="1"/>
    <x v="1"/>
    <n v="70000"/>
    <n v="3"/>
    <x v="4"/>
    <x v="4"/>
    <x v="1"/>
    <x v="2"/>
    <x v="3"/>
    <x v="2"/>
    <n v="53"/>
    <x v="1"/>
    <x v="1"/>
  </r>
  <r>
    <n v="11090"/>
    <x v="1"/>
    <x v="1"/>
    <n v="90000"/>
    <n v="2"/>
    <x v="1"/>
    <x v="2"/>
    <x v="0"/>
    <x v="1"/>
    <x v="1"/>
    <x v="2"/>
    <n v="48"/>
    <x v="1"/>
    <x v="1"/>
  </r>
  <r>
    <n v="15862"/>
    <x v="1"/>
    <x v="0"/>
    <n v="50000"/>
    <n v="0"/>
    <x v="4"/>
    <x v="0"/>
    <x v="0"/>
    <x v="0"/>
    <x v="3"/>
    <x v="2"/>
    <n v="33"/>
    <x v="2"/>
    <x v="1"/>
  </r>
  <r>
    <n v="26495"/>
    <x v="1"/>
    <x v="0"/>
    <n v="40000"/>
    <n v="2"/>
    <x v="2"/>
    <x v="2"/>
    <x v="0"/>
    <x v="2"/>
    <x v="4"/>
    <x v="2"/>
    <n v="57"/>
    <x v="1"/>
    <x v="0"/>
  </r>
  <r>
    <n v="11823"/>
    <x v="0"/>
    <x v="0"/>
    <n v="70000"/>
    <n v="0"/>
    <x v="4"/>
    <x v="2"/>
    <x v="0"/>
    <x v="0"/>
    <x v="1"/>
    <x v="2"/>
    <n v="39"/>
    <x v="0"/>
    <x v="0"/>
  </r>
  <r>
    <n v="23449"/>
    <x v="0"/>
    <x v="1"/>
    <n v="60000"/>
    <n v="2"/>
    <x v="2"/>
    <x v="2"/>
    <x v="0"/>
    <x v="2"/>
    <x v="2"/>
    <x v="2"/>
    <n v="48"/>
    <x v="1"/>
    <x v="0"/>
  </r>
  <r>
    <n v="23459"/>
    <x v="0"/>
    <x v="1"/>
    <n v="60000"/>
    <n v="2"/>
    <x v="2"/>
    <x v="2"/>
    <x v="0"/>
    <x v="2"/>
    <x v="2"/>
    <x v="2"/>
    <n v="50"/>
    <x v="1"/>
    <x v="0"/>
  </r>
  <r>
    <n v="19543"/>
    <x v="0"/>
    <x v="1"/>
    <n v="70000"/>
    <n v="5"/>
    <x v="4"/>
    <x v="2"/>
    <x v="1"/>
    <x v="4"/>
    <x v="4"/>
    <x v="2"/>
    <n v="47"/>
    <x v="1"/>
    <x v="0"/>
  </r>
  <r>
    <n v="14914"/>
    <x v="0"/>
    <x v="0"/>
    <n v="40000"/>
    <n v="1"/>
    <x v="1"/>
    <x v="1"/>
    <x v="0"/>
    <x v="1"/>
    <x v="3"/>
    <x v="2"/>
    <n v="49"/>
    <x v="1"/>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1"/>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1"/>
    <x v="0"/>
  </r>
  <r>
    <n v="15292"/>
    <x v="1"/>
    <x v="0"/>
    <n v="60000"/>
    <n v="1"/>
    <x v="4"/>
    <x v="0"/>
    <x v="0"/>
    <x v="0"/>
    <x v="3"/>
    <x v="2"/>
    <n v="35"/>
    <x v="2"/>
    <x v="0"/>
  </r>
  <r>
    <n v="21587"/>
    <x v="0"/>
    <x v="0"/>
    <n v="60000"/>
    <n v="1"/>
    <x v="4"/>
    <x v="0"/>
    <x v="0"/>
    <x v="0"/>
    <x v="1"/>
    <x v="2"/>
    <n v="34"/>
    <x v="2"/>
    <x v="1"/>
  </r>
  <r>
    <n v="23513"/>
    <x v="0"/>
    <x v="0"/>
    <n v="40000"/>
    <n v="3"/>
    <x v="1"/>
    <x v="2"/>
    <x v="0"/>
    <x v="2"/>
    <x v="2"/>
    <x v="2"/>
    <n v="54"/>
    <x v="1"/>
    <x v="0"/>
  </r>
  <r>
    <n v="24322"/>
    <x v="0"/>
    <x v="0"/>
    <n v="60000"/>
    <n v="4"/>
    <x v="0"/>
    <x v="0"/>
    <x v="1"/>
    <x v="2"/>
    <x v="0"/>
    <x v="2"/>
    <n v="42"/>
    <x v="0"/>
    <x v="0"/>
  </r>
  <r>
    <n v="26298"/>
    <x v="0"/>
    <x v="0"/>
    <n v="50000"/>
    <n v="1"/>
    <x v="0"/>
    <x v="0"/>
    <x v="0"/>
    <x v="0"/>
    <x v="1"/>
    <x v="2"/>
    <n v="34"/>
    <x v="2"/>
    <x v="1"/>
  </r>
  <r>
    <n v="25419"/>
    <x v="1"/>
    <x v="1"/>
    <n v="50000"/>
    <n v="2"/>
    <x v="0"/>
    <x v="0"/>
    <x v="1"/>
    <x v="1"/>
    <x v="0"/>
    <x v="2"/>
    <n v="38"/>
    <x v="0"/>
    <x v="1"/>
  </r>
  <r>
    <n v="13343"/>
    <x v="0"/>
    <x v="0"/>
    <n v="90000"/>
    <n v="5"/>
    <x v="0"/>
    <x v="4"/>
    <x v="0"/>
    <x v="2"/>
    <x v="3"/>
    <x v="2"/>
    <n v="63"/>
    <x v="1"/>
    <x v="1"/>
  </r>
  <r>
    <n v="11303"/>
    <x v="1"/>
    <x v="0"/>
    <n v="90000"/>
    <n v="4"/>
    <x v="2"/>
    <x v="2"/>
    <x v="1"/>
    <x v="4"/>
    <x v="3"/>
    <x v="2"/>
    <n v="45"/>
    <x v="1"/>
    <x v="1"/>
  </r>
  <r>
    <n v="21693"/>
    <x v="1"/>
    <x v="0"/>
    <n v="60000"/>
    <n v="0"/>
    <x v="4"/>
    <x v="0"/>
    <x v="1"/>
    <x v="0"/>
    <x v="0"/>
    <x v="2"/>
    <n v="40"/>
    <x v="0"/>
    <x v="0"/>
  </r>
  <r>
    <n v="28056"/>
    <x v="0"/>
    <x v="1"/>
    <n v="70000"/>
    <n v="2"/>
    <x v="3"/>
    <x v="0"/>
    <x v="0"/>
    <x v="2"/>
    <x v="4"/>
    <x v="2"/>
    <n v="53"/>
    <x v="1"/>
    <x v="0"/>
  </r>
  <r>
    <n v="11788"/>
    <x v="1"/>
    <x v="0"/>
    <n v="70000"/>
    <n v="1"/>
    <x v="4"/>
    <x v="2"/>
    <x v="0"/>
    <x v="0"/>
    <x v="1"/>
    <x v="2"/>
    <n v="34"/>
    <x v="2"/>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1"/>
    <x v="1"/>
  </r>
  <r>
    <n v="17541"/>
    <x v="0"/>
    <x v="0"/>
    <n v="40000"/>
    <n v="4"/>
    <x v="2"/>
    <x v="0"/>
    <x v="0"/>
    <x v="2"/>
    <x v="1"/>
    <x v="2"/>
    <n v="43"/>
    <x v="0"/>
    <x v="0"/>
  </r>
  <r>
    <n v="13886"/>
    <x v="0"/>
    <x v="0"/>
    <n v="70000"/>
    <n v="4"/>
    <x v="4"/>
    <x v="2"/>
    <x v="0"/>
    <x v="0"/>
    <x v="1"/>
    <x v="2"/>
    <n v="35"/>
    <x v="2"/>
    <x v="1"/>
  </r>
  <r>
    <n v="13073"/>
    <x v="0"/>
    <x v="0"/>
    <n v="60000"/>
    <n v="0"/>
    <x v="1"/>
    <x v="2"/>
    <x v="0"/>
    <x v="2"/>
    <x v="2"/>
    <x v="2"/>
    <n v="30"/>
    <x v="2"/>
    <x v="0"/>
  </r>
  <r>
    <n v="21940"/>
    <x v="0"/>
    <x v="1"/>
    <n v="90000"/>
    <n v="5"/>
    <x v="4"/>
    <x v="2"/>
    <x v="0"/>
    <x v="0"/>
    <x v="0"/>
    <x v="2"/>
    <n v="47"/>
    <x v="1"/>
    <x v="1"/>
  </r>
  <r>
    <n v="20196"/>
    <x v="0"/>
    <x v="1"/>
    <n v="60000"/>
    <n v="1"/>
    <x v="1"/>
    <x v="0"/>
    <x v="0"/>
    <x v="1"/>
    <x v="1"/>
    <x v="2"/>
    <n v="45"/>
    <x v="1"/>
    <x v="1"/>
  </r>
  <r>
    <n v="23491"/>
    <x v="1"/>
    <x v="1"/>
    <n v="100000"/>
    <n v="0"/>
    <x v="1"/>
    <x v="2"/>
    <x v="1"/>
    <x v="3"/>
    <x v="3"/>
    <x v="2"/>
    <n v="45"/>
    <x v="1"/>
    <x v="0"/>
  </r>
  <r>
    <n v="16651"/>
    <x v="0"/>
    <x v="0"/>
    <n v="120000"/>
    <n v="2"/>
    <x v="0"/>
    <x v="4"/>
    <x v="0"/>
    <x v="4"/>
    <x v="2"/>
    <x v="2"/>
    <n v="62"/>
    <x v="1"/>
    <x v="0"/>
  </r>
  <r>
    <n v="16813"/>
    <x v="0"/>
    <x v="1"/>
    <n v="60000"/>
    <n v="2"/>
    <x v="1"/>
    <x v="2"/>
    <x v="0"/>
    <x v="2"/>
    <x v="4"/>
    <x v="2"/>
    <n v="55"/>
    <x v="1"/>
    <x v="0"/>
  </r>
  <r>
    <n v="16007"/>
    <x v="0"/>
    <x v="0"/>
    <n v="90000"/>
    <n v="5"/>
    <x v="0"/>
    <x v="4"/>
    <x v="0"/>
    <x v="2"/>
    <x v="3"/>
    <x v="2"/>
    <n v="66"/>
    <x v="3"/>
    <x v="1"/>
  </r>
  <r>
    <n v="27434"/>
    <x v="1"/>
    <x v="1"/>
    <n v="70000"/>
    <n v="4"/>
    <x v="1"/>
    <x v="2"/>
    <x v="0"/>
    <x v="1"/>
    <x v="4"/>
    <x v="2"/>
    <n v="56"/>
    <x v="1"/>
    <x v="0"/>
  </r>
  <r>
    <n v="27756"/>
    <x v="1"/>
    <x v="0"/>
    <n v="50000"/>
    <n v="3"/>
    <x v="0"/>
    <x v="0"/>
    <x v="1"/>
    <x v="1"/>
    <x v="0"/>
    <x v="2"/>
    <n v="40"/>
    <x v="0"/>
    <x v="0"/>
  </r>
  <r>
    <n v="23818"/>
    <x v="0"/>
    <x v="0"/>
    <n v="50000"/>
    <n v="0"/>
    <x v="4"/>
    <x v="0"/>
    <x v="0"/>
    <x v="0"/>
    <x v="3"/>
    <x v="2"/>
    <n v="33"/>
    <x v="2"/>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2"/>
    <x v="0"/>
  </r>
  <r>
    <n v="12192"/>
    <x v="1"/>
    <x v="0"/>
    <n v="60000"/>
    <n v="2"/>
    <x v="3"/>
    <x v="0"/>
    <x v="1"/>
    <x v="2"/>
    <x v="3"/>
    <x v="2"/>
    <n v="51"/>
    <x v="1"/>
    <x v="0"/>
  </r>
  <r>
    <n v="14887"/>
    <x v="0"/>
    <x v="0"/>
    <n v="30000"/>
    <n v="1"/>
    <x v="2"/>
    <x v="1"/>
    <x v="0"/>
    <x v="1"/>
    <x v="2"/>
    <x v="2"/>
    <n v="52"/>
    <x v="1"/>
    <x v="0"/>
  </r>
  <r>
    <n v="11734"/>
    <x v="0"/>
    <x v="1"/>
    <n v="60000"/>
    <n v="1"/>
    <x v="1"/>
    <x v="0"/>
    <x v="1"/>
    <x v="1"/>
    <x v="0"/>
    <x v="2"/>
    <n v="47"/>
    <x v="1"/>
    <x v="0"/>
  </r>
  <r>
    <n v="17462"/>
    <x v="0"/>
    <x v="1"/>
    <n v="70000"/>
    <n v="3"/>
    <x v="4"/>
    <x v="4"/>
    <x v="0"/>
    <x v="2"/>
    <x v="2"/>
    <x v="2"/>
    <n v="53"/>
    <x v="1"/>
    <x v="1"/>
  </r>
  <r>
    <n v="20659"/>
    <x v="0"/>
    <x v="1"/>
    <n v="70000"/>
    <n v="3"/>
    <x v="4"/>
    <x v="2"/>
    <x v="0"/>
    <x v="0"/>
    <x v="0"/>
    <x v="2"/>
    <n v="35"/>
    <x v="2"/>
    <x v="1"/>
  </r>
  <r>
    <n v="28004"/>
    <x v="0"/>
    <x v="0"/>
    <n v="60000"/>
    <n v="3"/>
    <x v="0"/>
    <x v="4"/>
    <x v="0"/>
    <x v="2"/>
    <x v="4"/>
    <x v="2"/>
    <n v="66"/>
    <x v="3"/>
    <x v="0"/>
  </r>
  <r>
    <n v="19741"/>
    <x v="1"/>
    <x v="0"/>
    <n v="80000"/>
    <n v="4"/>
    <x v="4"/>
    <x v="4"/>
    <x v="0"/>
    <x v="2"/>
    <x v="2"/>
    <x v="2"/>
    <n v="65"/>
    <x v="3"/>
    <x v="0"/>
  </r>
  <r>
    <n v="17450"/>
    <x v="0"/>
    <x v="1"/>
    <n v="80000"/>
    <n v="5"/>
    <x v="1"/>
    <x v="2"/>
    <x v="0"/>
    <x v="4"/>
    <x v="2"/>
    <x v="2"/>
    <n v="45"/>
    <x v="1"/>
    <x v="0"/>
  </r>
  <r>
    <n v="17337"/>
    <x v="1"/>
    <x v="1"/>
    <n v="40000"/>
    <n v="0"/>
    <x v="2"/>
    <x v="0"/>
    <x v="0"/>
    <x v="1"/>
    <x v="2"/>
    <x v="2"/>
    <n v="31"/>
    <x v="2"/>
    <x v="0"/>
  </r>
  <r>
    <n v="18594"/>
    <x v="1"/>
    <x v="0"/>
    <n v="80000"/>
    <n v="3"/>
    <x v="0"/>
    <x v="0"/>
    <x v="0"/>
    <x v="4"/>
    <x v="4"/>
    <x v="2"/>
    <n v="40"/>
    <x v="0"/>
    <x v="1"/>
  </r>
  <r>
    <n v="15982"/>
    <x v="0"/>
    <x v="1"/>
    <n v="110000"/>
    <n v="5"/>
    <x v="1"/>
    <x v="2"/>
    <x v="0"/>
    <x v="3"/>
    <x v="1"/>
    <x v="2"/>
    <n v="46"/>
    <x v="1"/>
    <x v="0"/>
  </r>
  <r>
    <n v="28625"/>
    <x v="1"/>
    <x v="1"/>
    <n v="40000"/>
    <n v="2"/>
    <x v="1"/>
    <x v="1"/>
    <x v="1"/>
    <x v="1"/>
    <x v="3"/>
    <x v="2"/>
    <n v="47"/>
    <x v="1"/>
    <x v="1"/>
  </r>
  <r>
    <n v="11269"/>
    <x v="0"/>
    <x v="1"/>
    <n v="130000"/>
    <n v="2"/>
    <x v="4"/>
    <x v="4"/>
    <x v="0"/>
    <x v="2"/>
    <x v="0"/>
    <x v="2"/>
    <n v="41"/>
    <x v="0"/>
    <x v="0"/>
  </r>
  <r>
    <n v="25148"/>
    <x v="0"/>
    <x v="1"/>
    <n v="60000"/>
    <n v="2"/>
    <x v="2"/>
    <x v="2"/>
    <x v="1"/>
    <x v="2"/>
    <x v="3"/>
    <x v="2"/>
    <n v="48"/>
    <x v="1"/>
    <x v="1"/>
  </r>
  <r>
    <n v="13920"/>
    <x v="1"/>
    <x v="0"/>
    <n v="50000"/>
    <n v="4"/>
    <x v="0"/>
    <x v="0"/>
    <x v="0"/>
    <x v="2"/>
    <x v="0"/>
    <x v="2"/>
    <n v="42"/>
    <x v="0"/>
    <x v="0"/>
  </r>
  <r>
    <n v="23704"/>
    <x v="1"/>
    <x v="1"/>
    <n v="40000"/>
    <n v="5"/>
    <x v="2"/>
    <x v="2"/>
    <x v="0"/>
    <x v="3"/>
    <x v="4"/>
    <x v="2"/>
    <n v="60"/>
    <x v="1"/>
    <x v="1"/>
  </r>
  <r>
    <n v="28972"/>
    <x v="1"/>
    <x v="0"/>
    <n v="60000"/>
    <n v="3"/>
    <x v="4"/>
    <x v="4"/>
    <x v="0"/>
    <x v="2"/>
    <x v="4"/>
    <x v="2"/>
    <n v="66"/>
    <x v="3"/>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1"/>
    <x v="1"/>
  </r>
  <r>
    <n v="11292"/>
    <x v="1"/>
    <x v="1"/>
    <n v="150000"/>
    <n v="1"/>
    <x v="1"/>
    <x v="2"/>
    <x v="1"/>
    <x v="4"/>
    <x v="0"/>
    <x v="2"/>
    <n v="44"/>
    <x v="0"/>
    <x v="1"/>
  </r>
  <r>
    <n v="13466"/>
    <x v="0"/>
    <x v="1"/>
    <n v="80000"/>
    <n v="5"/>
    <x v="1"/>
    <x v="2"/>
    <x v="0"/>
    <x v="4"/>
    <x v="3"/>
    <x v="2"/>
    <n v="46"/>
    <x v="1"/>
    <x v="0"/>
  </r>
  <r>
    <n v="23731"/>
    <x v="0"/>
    <x v="1"/>
    <n v="60000"/>
    <n v="2"/>
    <x v="2"/>
    <x v="2"/>
    <x v="0"/>
    <x v="2"/>
    <x v="1"/>
    <x v="2"/>
    <n v="54"/>
    <x v="1"/>
    <x v="1"/>
  </r>
  <r>
    <n v="28672"/>
    <x v="1"/>
    <x v="1"/>
    <n v="70000"/>
    <n v="4"/>
    <x v="4"/>
    <x v="2"/>
    <x v="0"/>
    <x v="0"/>
    <x v="1"/>
    <x v="2"/>
    <n v="35"/>
    <x v="2"/>
    <x v="1"/>
  </r>
  <r>
    <n v="11809"/>
    <x v="0"/>
    <x v="1"/>
    <n v="60000"/>
    <n v="2"/>
    <x v="0"/>
    <x v="0"/>
    <x v="0"/>
    <x v="0"/>
    <x v="0"/>
    <x v="2"/>
    <n v="38"/>
    <x v="0"/>
    <x v="1"/>
  </r>
  <r>
    <n v="19664"/>
    <x v="1"/>
    <x v="1"/>
    <n v="100000"/>
    <n v="3"/>
    <x v="0"/>
    <x v="4"/>
    <x v="1"/>
    <x v="4"/>
    <x v="3"/>
    <x v="2"/>
    <n v="38"/>
    <x v="0"/>
    <x v="0"/>
  </r>
  <r>
    <n v="12121"/>
    <x v="1"/>
    <x v="1"/>
    <n v="60000"/>
    <n v="3"/>
    <x v="2"/>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82643-B5B2-48C3-8ABC-41C04F3445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B70" firstHeaderRow="1" firstDataRow="1"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axis="axisRow" showAll="0">
      <items count="3">
        <item x="1"/>
        <item x="0"/>
        <item t="default"/>
      </items>
    </pivotField>
    <pivotField showAll="0"/>
    <pivotField showAll="0"/>
    <pivotField showAll="0"/>
    <pivotField showAll="0"/>
    <pivotField showAll="0"/>
    <pivotField dataField="1" showAll="0"/>
  </pivotFields>
  <rowFields count="1">
    <field x="7"/>
  </rowFields>
  <rowItems count="3">
    <i>
      <x/>
    </i>
    <i>
      <x v="1"/>
    </i>
    <i t="grand">
      <x/>
    </i>
  </rowItems>
  <colItems count="1">
    <i/>
  </colItems>
  <dataFields count="1">
    <dataField name="Count of Purchased Bike" fld="13" subtotal="count" showDataAs="percentOfTotal" baseField="7" baseItem="0" numFmtId="1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DDE47E-223C-45BE-A528-F1AAF3B068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C58" firstHeaderRow="0" firstDataRow="1" firstDataCol="1"/>
  <pivotFields count="14">
    <pivotField showAll="0"/>
    <pivotField showAll="0">
      <items count="3">
        <item x="0"/>
        <item h="1" x="1"/>
        <item t="default"/>
      </items>
    </pivotField>
    <pivotField showAll="0"/>
    <pivotField dataField="1" numFmtId="165" showAll="0"/>
    <pivotField showAll="0"/>
    <pivotField showAll="0">
      <items count="6">
        <item h="1" x="0"/>
        <item h="1" x="4"/>
        <item x="2"/>
        <item h="1" x="1"/>
        <item h="1"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Fields count="1">
    <field x="-2"/>
  </colFields>
  <colItems count="2">
    <i>
      <x/>
    </i>
    <i i="1">
      <x v="1"/>
    </i>
  </colItems>
  <dataFields count="2">
    <dataField name="Average of Income" fld="3" subtotal="average" baseField="6" baseItem="0"/>
    <dataField name="Count of Purchased Bike" fld="13" subtotal="count" baseField="0" baseItem="0"/>
  </dataFields>
  <formats count="6">
    <format dxfId="32">
      <pivotArea collapsedLevelsAreSubtotals="1" fieldPosition="0">
        <references count="2">
          <reference field="4294967294" count="1" selected="0">
            <x v="0"/>
          </reference>
          <reference field="6" count="0"/>
        </references>
      </pivotArea>
    </format>
    <format dxfId="31">
      <pivotArea collapsedLevelsAreSubtotals="1" fieldPosition="0">
        <references count="2">
          <reference field="4294967294" count="1" selected="0">
            <x v="0"/>
          </reference>
          <reference field="6" count="1">
            <x v="0"/>
          </reference>
        </references>
      </pivotArea>
    </format>
    <format dxfId="30">
      <pivotArea collapsedLevelsAreSubtotals="1" fieldPosition="0">
        <references count="2">
          <reference field="4294967294" count="1" selected="0">
            <x v="0"/>
          </reference>
          <reference field="6" count="1">
            <x v="1"/>
          </reference>
        </references>
      </pivotArea>
    </format>
    <format dxfId="29">
      <pivotArea collapsedLevelsAreSubtotals="1" fieldPosition="0">
        <references count="2">
          <reference field="4294967294" count="1" selected="0">
            <x v="0"/>
          </reference>
          <reference field="6" count="1">
            <x v="2"/>
          </reference>
        </references>
      </pivotArea>
    </format>
    <format dxfId="28">
      <pivotArea collapsedLevelsAreSubtotals="1" fieldPosition="0">
        <references count="2">
          <reference field="4294967294" count="1" selected="0">
            <x v="0"/>
          </reference>
          <reference field="6" count="1">
            <x v="3"/>
          </reference>
        </references>
      </pivotArea>
    </format>
    <format dxfId="27">
      <pivotArea collapsedLevelsAreSubtotals="1" fieldPosition="0">
        <references count="2">
          <reference field="4294967294" count="1" selected="0">
            <x v="0"/>
          </reference>
          <reference field="6" count="1">
            <x v="4"/>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C7E9A-C6FE-42A8-82B6-6AC5B762F0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pivotField showAll="0"/>
    <pivotField axis="axisRow" showAll="0">
      <items count="5">
        <item x="3"/>
        <item x="1"/>
        <item x="0"/>
        <item x="2"/>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4D7E3-0A2B-457C-BD4C-C40DE30A66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G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axis="axisCol" showAll="0">
      <items count="6">
        <item x="0"/>
        <item x="1"/>
        <item x="2"/>
        <item x="4"/>
        <item x="3"/>
        <item t="default"/>
      </items>
    </pivotField>
    <pivotField axis="axisRow" showAll="0">
      <items count="6">
        <item x="0"/>
        <item x="3"/>
        <item x="1"/>
        <item x="2"/>
        <item x="4"/>
        <item t="default"/>
      </items>
    </pivotField>
    <pivotField showAll="0"/>
    <pivotField showAll="0"/>
    <pivotField showAll="0"/>
    <pivotField dataField="1" showAll="0"/>
  </pivotFields>
  <rowFields count="1">
    <field x="9"/>
  </rowFields>
  <rowItems count="6">
    <i>
      <x/>
    </i>
    <i>
      <x v="1"/>
    </i>
    <i>
      <x v="2"/>
    </i>
    <i>
      <x v="3"/>
    </i>
    <i>
      <x v="4"/>
    </i>
    <i t="grand">
      <x/>
    </i>
  </rowItems>
  <colFields count="1">
    <field x="8"/>
  </colFields>
  <colItems count="6">
    <i>
      <x/>
    </i>
    <i>
      <x v="1"/>
    </i>
    <i>
      <x v="2"/>
    </i>
    <i>
      <x v="3"/>
    </i>
    <i>
      <x v="4"/>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15" series="1">
      <pivotArea type="data" outline="0" fieldPosition="0">
        <references count="2">
          <reference field="4294967294" count="1" selected="0">
            <x v="0"/>
          </reference>
          <reference field="8" count="1" selected="0">
            <x v="0"/>
          </reference>
        </references>
      </pivotArea>
    </chartFormat>
    <chartFormat chart="2" format="16" series="1">
      <pivotArea type="data" outline="0" fieldPosition="0">
        <references count="2">
          <reference field="4294967294" count="1" selected="0">
            <x v="0"/>
          </reference>
          <reference field="8" count="1" selected="0">
            <x v="1"/>
          </reference>
        </references>
      </pivotArea>
    </chartFormat>
    <chartFormat chart="2" format="17" series="1">
      <pivotArea type="data" outline="0" fieldPosition="0">
        <references count="2">
          <reference field="4294967294" count="1" selected="0">
            <x v="0"/>
          </reference>
          <reference field="8" count="1" selected="0">
            <x v="2"/>
          </reference>
        </references>
      </pivotArea>
    </chartFormat>
    <chartFormat chart="2" format="18" series="1">
      <pivotArea type="data" outline="0" fieldPosition="0">
        <references count="2">
          <reference field="4294967294" count="1" selected="0">
            <x v="0"/>
          </reference>
          <reference field="8" count="1" selected="0">
            <x v="3"/>
          </reference>
        </references>
      </pivotArea>
    </chartFormat>
    <chartFormat chart="2" format="1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CDC577-A8DE-43AB-AD02-85149D7EEB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35">
      <pivotArea dataOnly="0" labelOnly="1" fieldPosition="0">
        <references count="1">
          <reference field="2" count="0"/>
        </references>
      </pivotArea>
    </format>
    <format dxfId="34">
      <pivotArea dataOnly="0" labelOnly="1" grandRow="1" outline="0" fieldPosition="0"/>
    </format>
    <format dxfId="3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5D5647-3506-4E8F-95D1-DEB1287F6DC7}" sourceName="Marital Status">
  <pivotTables>
    <pivotTable tabId="3" name="PivotTable1"/>
    <pivotTable tabId="3" name="PivotTable2"/>
    <pivotTable tabId="3" name="PivotTable3"/>
    <pivotTable tabId="3" name="PivotTable4"/>
    <pivotTable tabId="3" name="PivotTable5"/>
  </pivotTables>
  <data>
    <tabular pivotCacheId="82098103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8F950D-B7C5-4BF5-83D0-717D1BD942B5}" sourceName="Education">
  <pivotTables>
    <pivotTable tabId="3" name="PivotTable1"/>
    <pivotTable tabId="3" name="PivotTable2"/>
    <pivotTable tabId="3" name="PivotTable3"/>
    <pivotTable tabId="3" name="PivotTable4"/>
    <pivotTable tabId="3" name="PivotTable5"/>
  </pivotTables>
  <data>
    <tabular pivotCacheId="82098103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8CDBDB-DFBB-4510-AE58-BAD823BDEA37}" sourceName="Region">
  <pivotTables>
    <pivotTable tabId="3" name="PivotTable1"/>
  </pivotTables>
  <data>
    <tabular pivotCacheId="82098103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1B77F3-7C59-48BD-9579-A2A3B0AD7B75}" cache="Slicer_Marital_Status" caption="Marital Status" style="SlicerStyleLight6" rowHeight="241300"/>
  <slicer name="Education" xr10:uid="{D308E2D2-EE94-4109-8394-676B7EB543F7}" cache="Slicer_Education" caption="Education" style="SlicerStyleLight6" rowHeight="241300"/>
  <slicer name="Region" xr10:uid="{B9327926-5E9B-442B-ADB0-85499C6EF20F}" cache="Slicer_Region" caption="Region"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7C2A7-5935-43A2-9CCA-9F0ACCAE8C1A}">
  <dimension ref="A1:N1001"/>
  <sheetViews>
    <sheetView workbookViewId="0">
      <selection activeCell="D11" sqref="D11"/>
    </sheetView>
  </sheetViews>
  <sheetFormatPr defaultColWidth="11.85546875" defaultRowHeight="15" x14ac:dyDescent="0.25"/>
  <cols>
    <col min="4" max="4" width="13.140625" style="3" bestFit="1" customWidth="1"/>
    <col min="14" max="14" width="15.42578125" customWidth="1"/>
  </cols>
  <sheetData>
    <row r="1" spans="1:14" x14ac:dyDescent="0.25">
      <c r="A1" t="s">
        <v>0</v>
      </c>
      <c r="B1" s="7" t="s">
        <v>1</v>
      </c>
      <c r="C1" t="s">
        <v>2</v>
      </c>
      <c r="D1" s="3" t="s">
        <v>3</v>
      </c>
      <c r="E1" t="s">
        <v>4</v>
      </c>
      <c r="F1" s="7" t="s">
        <v>5</v>
      </c>
      <c r="G1" t="s">
        <v>6</v>
      </c>
      <c r="H1" t="s">
        <v>7</v>
      </c>
      <c r="I1" t="s">
        <v>8</v>
      </c>
      <c r="J1" t="s">
        <v>9</v>
      </c>
      <c r="K1" s="7"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IF(L2&gt;=65,"Elderly",IF(L2&gt;=45,"Middle Age",IF(L2&gt;=36,"Early Middle Age","Young Adult")))</f>
        <v>Early 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IF(L3&gt;=65,"Elderly",IF(L3&gt;=45,"Middle Age",IF(L3&gt;=36,"Early Middle Age","Young Adult")))</f>
        <v>Early Middle Age</v>
      </c>
      <c r="N3" t="s">
        <v>18</v>
      </c>
    </row>
    <row r="4" spans="1:14" x14ac:dyDescent="0.25">
      <c r="A4">
        <v>14177</v>
      </c>
      <c r="B4" t="s">
        <v>36</v>
      </c>
      <c r="C4" t="s">
        <v>38</v>
      </c>
      <c r="D4" s="3">
        <v>80000</v>
      </c>
      <c r="E4">
        <v>5</v>
      </c>
      <c r="F4" t="s">
        <v>19</v>
      </c>
      <c r="G4" t="s">
        <v>21</v>
      </c>
      <c r="H4" t="s">
        <v>18</v>
      </c>
      <c r="I4">
        <v>2</v>
      </c>
      <c r="J4" t="s">
        <v>22</v>
      </c>
      <c r="K4" t="s">
        <v>17</v>
      </c>
      <c r="L4">
        <v>60</v>
      </c>
      <c r="M4" t="str">
        <f t="shared" si="0"/>
        <v>Middle Age</v>
      </c>
      <c r="N4" t="s">
        <v>18</v>
      </c>
    </row>
    <row r="5" spans="1:14" x14ac:dyDescent="0.25">
      <c r="A5">
        <v>24381</v>
      </c>
      <c r="B5" t="s">
        <v>37</v>
      </c>
      <c r="C5" t="s">
        <v>38</v>
      </c>
      <c r="D5" s="3">
        <v>70000</v>
      </c>
      <c r="E5">
        <v>0</v>
      </c>
      <c r="F5" t="s">
        <v>13</v>
      </c>
      <c r="G5" t="s">
        <v>21</v>
      </c>
      <c r="H5" t="s">
        <v>15</v>
      </c>
      <c r="I5">
        <v>1</v>
      </c>
      <c r="J5" t="s">
        <v>23</v>
      </c>
      <c r="K5" t="s">
        <v>24</v>
      </c>
      <c r="L5">
        <v>41</v>
      </c>
      <c r="M5" t="str">
        <f t="shared" si="0"/>
        <v>Early Middle Age</v>
      </c>
      <c r="N5" t="s">
        <v>15</v>
      </c>
    </row>
    <row r="6" spans="1:14" x14ac:dyDescent="0.25">
      <c r="A6">
        <v>25597</v>
      </c>
      <c r="B6" t="s">
        <v>37</v>
      </c>
      <c r="C6" t="s">
        <v>38</v>
      </c>
      <c r="D6" s="3">
        <v>30000</v>
      </c>
      <c r="E6">
        <v>0</v>
      </c>
      <c r="F6" t="s">
        <v>13</v>
      </c>
      <c r="G6" t="s">
        <v>20</v>
      </c>
      <c r="H6" t="s">
        <v>18</v>
      </c>
      <c r="I6">
        <v>0</v>
      </c>
      <c r="J6" t="s">
        <v>16</v>
      </c>
      <c r="K6" t="s">
        <v>17</v>
      </c>
      <c r="L6">
        <v>36</v>
      </c>
      <c r="M6" t="str">
        <f t="shared" si="0"/>
        <v>Early 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Young Adult</v>
      </c>
      <c r="N8" t="s">
        <v>15</v>
      </c>
    </row>
    <row r="9" spans="1:14" x14ac:dyDescent="0.25">
      <c r="A9">
        <v>19364</v>
      </c>
      <c r="B9" t="s">
        <v>36</v>
      </c>
      <c r="C9" t="s">
        <v>38</v>
      </c>
      <c r="D9" s="3">
        <v>40000</v>
      </c>
      <c r="E9">
        <v>1</v>
      </c>
      <c r="F9" t="s">
        <v>13</v>
      </c>
      <c r="G9" t="s">
        <v>14</v>
      </c>
      <c r="H9" t="s">
        <v>15</v>
      </c>
      <c r="I9">
        <v>0</v>
      </c>
      <c r="J9" t="s">
        <v>16</v>
      </c>
      <c r="K9" t="s">
        <v>17</v>
      </c>
      <c r="L9">
        <v>43</v>
      </c>
      <c r="M9" t="str">
        <f t="shared" si="0"/>
        <v>Early 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Middle Age</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Early 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45</v>
      </c>
      <c r="K13" t="s">
        <v>24</v>
      </c>
      <c r="L13">
        <v>36</v>
      </c>
      <c r="M13" t="str">
        <f t="shared" si="0"/>
        <v>Early 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Young Adult</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Early 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Middle Age</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Young Adult</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Early Middle Age</v>
      </c>
      <c r="N22" t="s">
        <v>15</v>
      </c>
    </row>
    <row r="23" spans="1:14" x14ac:dyDescent="0.25">
      <c r="A23">
        <v>21564</v>
      </c>
      <c r="B23" t="s">
        <v>37</v>
      </c>
      <c r="C23" t="s">
        <v>39</v>
      </c>
      <c r="D23" s="3">
        <v>80000</v>
      </c>
      <c r="E23">
        <v>0</v>
      </c>
      <c r="F23" t="s">
        <v>13</v>
      </c>
      <c r="G23" t="s">
        <v>21</v>
      </c>
      <c r="H23" t="s">
        <v>15</v>
      </c>
      <c r="I23">
        <v>4</v>
      </c>
      <c r="J23" t="s">
        <v>45</v>
      </c>
      <c r="K23" t="s">
        <v>24</v>
      </c>
      <c r="L23">
        <v>35</v>
      </c>
      <c r="M23" t="str">
        <f t="shared" si="0"/>
        <v>Young Adult</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Young Adult</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Young Adult</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Middle Age</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Young Adult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Early 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Early 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Young Adult</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Middle Age</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Young Adult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Young Adult</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Middle Age</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Early 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Young Adult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Young Adult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Early 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Early 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Elderly</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Early 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Early 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Elderly</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Early 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Early 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Young Adult</v>
      </c>
      <c r="N52" t="s">
        <v>18</v>
      </c>
    </row>
    <row r="53" spans="1:14" x14ac:dyDescent="0.25">
      <c r="A53">
        <v>20619</v>
      </c>
      <c r="B53" t="s">
        <v>37</v>
      </c>
      <c r="C53" t="s">
        <v>38</v>
      </c>
      <c r="D53" s="3">
        <v>80000</v>
      </c>
      <c r="E53">
        <v>0</v>
      </c>
      <c r="F53" t="s">
        <v>13</v>
      </c>
      <c r="G53" t="s">
        <v>21</v>
      </c>
      <c r="H53" t="s">
        <v>18</v>
      </c>
      <c r="I53">
        <v>4</v>
      </c>
      <c r="J53" t="s">
        <v>45</v>
      </c>
      <c r="K53" t="s">
        <v>24</v>
      </c>
      <c r="L53">
        <v>35</v>
      </c>
      <c r="M53" t="str">
        <f t="shared" si="0"/>
        <v>Young Adult</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Elderly</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Early Middle Age</v>
      </c>
      <c r="N56" t="s">
        <v>18</v>
      </c>
    </row>
    <row r="57" spans="1:14" x14ac:dyDescent="0.25">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Early 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Middle Age</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Early 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Early 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Young Adult</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45</v>
      </c>
      <c r="K65" t="s">
        <v>24</v>
      </c>
      <c r="L65">
        <v>41</v>
      </c>
      <c r="M65" t="str">
        <f t="shared" si="0"/>
        <v>Early 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Early 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IF(L67&gt;=65,"Elderly",IF(L67&gt;=45,"Middle Age",IF(L67&gt;=36,"Early Middle Age","Young Adult")))</f>
        <v>Elderly</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Early 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Young Adult</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Early 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Young Adult</v>
      </c>
      <c r="N71" t="s">
        <v>18</v>
      </c>
    </row>
    <row r="72" spans="1:14" x14ac:dyDescent="0.25">
      <c r="A72">
        <v>14238</v>
      </c>
      <c r="B72" t="s">
        <v>36</v>
      </c>
      <c r="C72" t="s">
        <v>38</v>
      </c>
      <c r="D72" s="3">
        <v>120000</v>
      </c>
      <c r="E72">
        <v>0</v>
      </c>
      <c r="F72" t="s">
        <v>29</v>
      </c>
      <c r="G72" t="s">
        <v>21</v>
      </c>
      <c r="H72" t="s">
        <v>15</v>
      </c>
      <c r="I72">
        <v>4</v>
      </c>
      <c r="J72" t="s">
        <v>45</v>
      </c>
      <c r="K72" t="s">
        <v>24</v>
      </c>
      <c r="L72">
        <v>36</v>
      </c>
      <c r="M72" t="str">
        <f t="shared" si="1"/>
        <v>Early 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Young Adult</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Early 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Middle Age</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Young Adult</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Young Adult</v>
      </c>
      <c r="N78" t="s">
        <v>18</v>
      </c>
    </row>
    <row r="79" spans="1:14" x14ac:dyDescent="0.25">
      <c r="A79">
        <v>27969</v>
      </c>
      <c r="B79" t="s">
        <v>36</v>
      </c>
      <c r="C79" t="s">
        <v>38</v>
      </c>
      <c r="D79" s="3">
        <v>80000</v>
      </c>
      <c r="E79">
        <v>0</v>
      </c>
      <c r="F79" t="s">
        <v>13</v>
      </c>
      <c r="G79" t="s">
        <v>21</v>
      </c>
      <c r="H79" t="s">
        <v>15</v>
      </c>
      <c r="I79">
        <v>2</v>
      </c>
      <c r="J79" t="s">
        <v>45</v>
      </c>
      <c r="K79" t="s">
        <v>24</v>
      </c>
      <c r="L79">
        <v>29</v>
      </c>
      <c r="M79" t="str">
        <f t="shared" si="1"/>
        <v>Young Adult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Middle Age</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Early 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Young Adult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Young Adult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Early 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Young Adult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Early 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Young Adult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Young Adult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Early 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Young Adult</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45</v>
      </c>
      <c r="K97" t="s">
        <v>17</v>
      </c>
      <c r="L97">
        <v>62</v>
      </c>
      <c r="M97" t="str">
        <f t="shared" si="1"/>
        <v>Middle Age</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Early 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Early 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Young Adult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Early 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Young Adult</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Early 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Young Adult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Early 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Early 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Early 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Young Adult</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Early 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Young Adult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Young Adult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Early 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Early 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Middle Age</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Young Adult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Elderly</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45</v>
      </c>
      <c r="K124" t="s">
        <v>24</v>
      </c>
      <c r="L124">
        <v>31</v>
      </c>
      <c r="M124" t="str">
        <f t="shared" si="1"/>
        <v>Young Adult</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Early 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Early 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Young Adult</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Early 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IF(L131&gt;=65,"Elderly",IF(L131&gt;=45,"Middle Age",IF(L131&gt;=36,"Early Middle Age","Young Adult")))</f>
        <v>Early 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Early 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Middle Age</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Early 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Elderly</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Early 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Young Adult</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Early 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Middle Age</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Early 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Young Adult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Early Middle Age</v>
      </c>
      <c r="N144" t="s">
        <v>15</v>
      </c>
    </row>
    <row r="145" spans="1:14" x14ac:dyDescent="0.25">
      <c r="A145">
        <v>16614</v>
      </c>
      <c r="B145" t="s">
        <v>36</v>
      </c>
      <c r="C145" t="s">
        <v>39</v>
      </c>
      <c r="D145" s="3">
        <v>80000</v>
      </c>
      <c r="E145">
        <v>0</v>
      </c>
      <c r="F145" t="s">
        <v>13</v>
      </c>
      <c r="G145" t="s">
        <v>21</v>
      </c>
      <c r="H145" t="s">
        <v>15</v>
      </c>
      <c r="I145">
        <v>3</v>
      </c>
      <c r="J145" t="s">
        <v>45</v>
      </c>
      <c r="K145" t="s">
        <v>24</v>
      </c>
      <c r="L145">
        <v>32</v>
      </c>
      <c r="M145" t="str">
        <f t="shared" si="2"/>
        <v>Young Adult</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Early 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Young Adult</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Early 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Early 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Middle Age</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Young Adult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Early 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Young Adult</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Early 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Early 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Early 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Early 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Early 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Young Adult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Young Adult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45</v>
      </c>
      <c r="K169" t="s">
        <v>24</v>
      </c>
      <c r="L169">
        <v>35</v>
      </c>
      <c r="M169" t="str">
        <f t="shared" si="2"/>
        <v>Young Adult</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Early 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Middle Age</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Middle Age</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Young Adult</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Young Adult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Early 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Young Adult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45</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Early 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Early 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Early 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Elderly</v>
      </c>
      <c r="N185" t="s">
        <v>15</v>
      </c>
    </row>
    <row r="186" spans="1:14" x14ac:dyDescent="0.25">
      <c r="A186">
        <v>28918</v>
      </c>
      <c r="B186" t="s">
        <v>36</v>
      </c>
      <c r="C186" t="s">
        <v>39</v>
      </c>
      <c r="D186" s="3">
        <v>130000</v>
      </c>
      <c r="E186">
        <v>4</v>
      </c>
      <c r="F186" t="s">
        <v>27</v>
      </c>
      <c r="G186" t="s">
        <v>28</v>
      </c>
      <c r="H186" t="s">
        <v>18</v>
      </c>
      <c r="I186">
        <v>4</v>
      </c>
      <c r="J186" t="s">
        <v>45</v>
      </c>
      <c r="K186" t="s">
        <v>17</v>
      </c>
      <c r="L186">
        <v>58</v>
      </c>
      <c r="M186" t="str">
        <f t="shared" si="2"/>
        <v>Middle Age</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Middle Age</v>
      </c>
      <c r="N188" t="s">
        <v>15</v>
      </c>
    </row>
    <row r="189" spans="1:14" x14ac:dyDescent="0.25">
      <c r="A189">
        <v>18151</v>
      </c>
      <c r="B189" t="s">
        <v>37</v>
      </c>
      <c r="C189" t="s">
        <v>38</v>
      </c>
      <c r="D189" s="3">
        <v>80000</v>
      </c>
      <c r="E189">
        <v>5</v>
      </c>
      <c r="F189" t="s">
        <v>19</v>
      </c>
      <c r="G189" t="s">
        <v>21</v>
      </c>
      <c r="H189" t="s">
        <v>18</v>
      </c>
      <c r="I189">
        <v>2</v>
      </c>
      <c r="J189" t="s">
        <v>45</v>
      </c>
      <c r="K189" t="s">
        <v>17</v>
      </c>
      <c r="L189">
        <v>59</v>
      </c>
      <c r="M189" t="str">
        <f t="shared" si="2"/>
        <v>Middle Age</v>
      </c>
      <c r="N189" t="s">
        <v>18</v>
      </c>
    </row>
    <row r="190" spans="1:14" x14ac:dyDescent="0.25">
      <c r="A190">
        <v>20606</v>
      </c>
      <c r="B190" t="s">
        <v>36</v>
      </c>
      <c r="C190" t="s">
        <v>39</v>
      </c>
      <c r="D190" s="3">
        <v>70000</v>
      </c>
      <c r="E190">
        <v>0</v>
      </c>
      <c r="F190" t="s">
        <v>13</v>
      </c>
      <c r="G190" t="s">
        <v>21</v>
      </c>
      <c r="H190" t="s">
        <v>15</v>
      </c>
      <c r="I190">
        <v>4</v>
      </c>
      <c r="J190" t="s">
        <v>45</v>
      </c>
      <c r="K190" t="s">
        <v>24</v>
      </c>
      <c r="L190">
        <v>32</v>
      </c>
      <c r="M190" t="str">
        <f t="shared" si="2"/>
        <v>Young Adult</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Early 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Early Middle Age</v>
      </c>
      <c r="N193" t="s">
        <v>15</v>
      </c>
    </row>
    <row r="194" spans="1:14" x14ac:dyDescent="0.25">
      <c r="A194">
        <v>15682</v>
      </c>
      <c r="B194" t="s">
        <v>37</v>
      </c>
      <c r="C194" t="s">
        <v>39</v>
      </c>
      <c r="D194" s="3">
        <v>80000</v>
      </c>
      <c r="E194">
        <v>5</v>
      </c>
      <c r="F194" t="s">
        <v>13</v>
      </c>
      <c r="G194" t="s">
        <v>28</v>
      </c>
      <c r="H194" t="s">
        <v>15</v>
      </c>
      <c r="I194">
        <v>2</v>
      </c>
      <c r="J194" t="s">
        <v>45</v>
      </c>
      <c r="K194" t="s">
        <v>17</v>
      </c>
      <c r="L194">
        <v>62</v>
      </c>
      <c r="M194" t="str">
        <f t="shared" si="2"/>
        <v>Middle Age</v>
      </c>
      <c r="N194" t="s">
        <v>18</v>
      </c>
    </row>
    <row r="195" spans="1:14" x14ac:dyDescent="0.25">
      <c r="A195">
        <v>26032</v>
      </c>
      <c r="B195" t="s">
        <v>36</v>
      </c>
      <c r="C195" t="s">
        <v>39</v>
      </c>
      <c r="D195" s="3">
        <v>70000</v>
      </c>
      <c r="E195">
        <v>5</v>
      </c>
      <c r="F195" t="s">
        <v>13</v>
      </c>
      <c r="G195" t="s">
        <v>21</v>
      </c>
      <c r="H195" t="s">
        <v>15</v>
      </c>
      <c r="I195">
        <v>4</v>
      </c>
      <c r="J195" t="s">
        <v>45</v>
      </c>
      <c r="K195" t="s">
        <v>24</v>
      </c>
      <c r="L195">
        <v>41</v>
      </c>
      <c r="M195" t="str">
        <f t="shared" ref="M195:M258" si="3">IF(L195&gt;=65,"Elderly",IF(L195&gt;=45,"Middle Age",IF(L195&gt;=36,"Early Middle Age","Young Adult")))</f>
        <v>Early 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Young Adult</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Young Adult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Early 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Elderly</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Early Middle Age</v>
      </c>
      <c r="N200" t="s">
        <v>15</v>
      </c>
    </row>
    <row r="201" spans="1:14" x14ac:dyDescent="0.25">
      <c r="A201">
        <v>11453</v>
      </c>
      <c r="B201" t="s">
        <v>37</v>
      </c>
      <c r="C201" t="s">
        <v>38</v>
      </c>
      <c r="D201" s="3">
        <v>80000</v>
      </c>
      <c r="E201">
        <v>0</v>
      </c>
      <c r="F201" t="s">
        <v>13</v>
      </c>
      <c r="G201" t="s">
        <v>21</v>
      </c>
      <c r="H201" t="s">
        <v>18</v>
      </c>
      <c r="I201">
        <v>3</v>
      </c>
      <c r="J201" t="s">
        <v>45</v>
      </c>
      <c r="K201" t="s">
        <v>24</v>
      </c>
      <c r="L201">
        <v>33</v>
      </c>
      <c r="M201" t="str">
        <f t="shared" si="3"/>
        <v>Young Adult</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Young Adult</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Young Adult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Young Adult</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45</v>
      </c>
      <c r="K208" t="s">
        <v>17</v>
      </c>
      <c r="L208">
        <v>62</v>
      </c>
      <c r="M208" t="str">
        <f t="shared" si="3"/>
        <v>Middle Age</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Young Adult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Early 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Early 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Early 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Early 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Young Adult</v>
      </c>
      <c r="N214" t="s">
        <v>18</v>
      </c>
    </row>
    <row r="215" spans="1:14" x14ac:dyDescent="0.25">
      <c r="A215">
        <v>11451</v>
      </c>
      <c r="B215" t="s">
        <v>37</v>
      </c>
      <c r="C215" t="s">
        <v>38</v>
      </c>
      <c r="D215" s="3">
        <v>70000</v>
      </c>
      <c r="E215">
        <v>0</v>
      </c>
      <c r="F215" t="s">
        <v>13</v>
      </c>
      <c r="G215" t="s">
        <v>21</v>
      </c>
      <c r="H215" t="s">
        <v>18</v>
      </c>
      <c r="I215">
        <v>4</v>
      </c>
      <c r="J215" t="s">
        <v>45</v>
      </c>
      <c r="K215" t="s">
        <v>24</v>
      </c>
      <c r="L215">
        <v>31</v>
      </c>
      <c r="M215" t="str">
        <f t="shared" si="3"/>
        <v>Young Adult</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Elderly</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Young Adult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Young Adult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Early 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Young Adult</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Early Middle Age</v>
      </c>
      <c r="N224" t="s">
        <v>18</v>
      </c>
    </row>
    <row r="225" spans="1:14" x14ac:dyDescent="0.25">
      <c r="A225">
        <v>18711</v>
      </c>
      <c r="B225" t="s">
        <v>37</v>
      </c>
      <c r="C225" t="s">
        <v>39</v>
      </c>
      <c r="D225" s="3">
        <v>70000</v>
      </c>
      <c r="E225">
        <v>5</v>
      </c>
      <c r="F225" t="s">
        <v>13</v>
      </c>
      <c r="G225" t="s">
        <v>21</v>
      </c>
      <c r="H225" t="s">
        <v>15</v>
      </c>
      <c r="I225">
        <v>4</v>
      </c>
      <c r="J225" t="s">
        <v>45</v>
      </c>
      <c r="K225" t="s">
        <v>24</v>
      </c>
      <c r="L225">
        <v>39</v>
      </c>
      <c r="M225" t="str">
        <f t="shared" si="3"/>
        <v>Early 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Elderly</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Young Adult</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Early 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Early 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45</v>
      </c>
      <c r="K231" t="s">
        <v>17</v>
      </c>
      <c r="L231">
        <v>57</v>
      </c>
      <c r="M231" t="str">
        <f t="shared" si="3"/>
        <v>Middle Age</v>
      </c>
      <c r="N231" t="s">
        <v>18</v>
      </c>
    </row>
    <row r="232" spans="1:14" x14ac:dyDescent="0.25">
      <c r="A232">
        <v>22830</v>
      </c>
      <c r="B232" t="s">
        <v>36</v>
      </c>
      <c r="C232" t="s">
        <v>38</v>
      </c>
      <c r="D232" s="3">
        <v>120000</v>
      </c>
      <c r="E232">
        <v>4</v>
      </c>
      <c r="F232" t="s">
        <v>19</v>
      </c>
      <c r="G232" t="s">
        <v>28</v>
      </c>
      <c r="H232" t="s">
        <v>15</v>
      </c>
      <c r="I232">
        <v>3</v>
      </c>
      <c r="J232" t="s">
        <v>45</v>
      </c>
      <c r="K232" t="s">
        <v>17</v>
      </c>
      <c r="L232">
        <v>56</v>
      </c>
      <c r="M232" t="str">
        <f t="shared" si="3"/>
        <v>Middle Age</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Early 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Young Adult</v>
      </c>
      <c r="N235" t="s">
        <v>15</v>
      </c>
    </row>
    <row r="236" spans="1:14" x14ac:dyDescent="0.25">
      <c r="A236">
        <v>24611</v>
      </c>
      <c r="B236" t="s">
        <v>37</v>
      </c>
      <c r="C236" t="s">
        <v>38</v>
      </c>
      <c r="D236" s="3">
        <v>90000</v>
      </c>
      <c r="E236">
        <v>0</v>
      </c>
      <c r="F236" t="s">
        <v>13</v>
      </c>
      <c r="G236" t="s">
        <v>21</v>
      </c>
      <c r="H236" t="s">
        <v>18</v>
      </c>
      <c r="I236">
        <v>4</v>
      </c>
      <c r="J236" t="s">
        <v>45</v>
      </c>
      <c r="K236" t="s">
        <v>24</v>
      </c>
      <c r="L236">
        <v>35</v>
      </c>
      <c r="M236" t="str">
        <f t="shared" si="3"/>
        <v>Young Adult</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Elderly</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Early 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Young Adult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Young Adult</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Early 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Young Adult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Early 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Young Adult</v>
      </c>
      <c r="N245" t="s">
        <v>18</v>
      </c>
    </row>
    <row r="246" spans="1:14" x14ac:dyDescent="0.25">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45</v>
      </c>
      <c r="K249" t="s">
        <v>24</v>
      </c>
      <c r="L249">
        <v>34</v>
      </c>
      <c r="M249" t="str">
        <f t="shared" si="3"/>
        <v>Young Adult</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Middle Age</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Early 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Elderly</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Young Adult</v>
      </c>
      <c r="N254" t="s">
        <v>18</v>
      </c>
    </row>
    <row r="255" spans="1:14" x14ac:dyDescent="0.25">
      <c r="A255">
        <v>20598</v>
      </c>
      <c r="B255" t="s">
        <v>36</v>
      </c>
      <c r="C255" t="s">
        <v>38</v>
      </c>
      <c r="D255" s="3">
        <v>100000</v>
      </c>
      <c r="E255">
        <v>3</v>
      </c>
      <c r="F255" t="s">
        <v>29</v>
      </c>
      <c r="G255" t="s">
        <v>21</v>
      </c>
      <c r="H255" t="s">
        <v>15</v>
      </c>
      <c r="I255">
        <v>0</v>
      </c>
      <c r="J255" t="s">
        <v>45</v>
      </c>
      <c r="K255" t="s">
        <v>17</v>
      </c>
      <c r="L255">
        <v>59</v>
      </c>
      <c r="M255" t="str">
        <f t="shared" si="3"/>
        <v>Middle Age</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Middle Age</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Early 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IF(L259&gt;=65,"Elderly",IF(L259&gt;=45,"Middle Age",IF(L259&gt;=36,"Early Middle Age","Young Adult")))</f>
        <v>Early Middle Age</v>
      </c>
      <c r="N259" t="s">
        <v>15</v>
      </c>
    </row>
    <row r="260" spans="1:14" x14ac:dyDescent="0.25">
      <c r="A260">
        <v>14193</v>
      </c>
      <c r="B260" t="s">
        <v>37</v>
      </c>
      <c r="C260" t="s">
        <v>39</v>
      </c>
      <c r="D260" s="3">
        <v>100000</v>
      </c>
      <c r="E260">
        <v>3</v>
      </c>
      <c r="F260" t="s">
        <v>19</v>
      </c>
      <c r="G260" t="s">
        <v>28</v>
      </c>
      <c r="H260" t="s">
        <v>15</v>
      </c>
      <c r="I260">
        <v>4</v>
      </c>
      <c r="J260" t="s">
        <v>45</v>
      </c>
      <c r="K260" t="s">
        <v>17</v>
      </c>
      <c r="L260">
        <v>56</v>
      </c>
      <c r="M260" t="str">
        <f t="shared" si="4"/>
        <v>Middle Age</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Early 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Early 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Young Adult</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45</v>
      </c>
      <c r="K265" t="s">
        <v>24</v>
      </c>
      <c r="L265">
        <v>39</v>
      </c>
      <c r="M265" t="str">
        <f t="shared" si="4"/>
        <v>Early 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Early 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Early 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Young Adult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Early 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Young Adult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Early 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Young Adult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Early 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Early 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Early Middle Age</v>
      </c>
      <c r="N279" t="s">
        <v>15</v>
      </c>
    </row>
    <row r="280" spans="1:14" x14ac:dyDescent="0.25">
      <c r="A280">
        <v>20625</v>
      </c>
      <c r="B280" t="s">
        <v>36</v>
      </c>
      <c r="C280" t="s">
        <v>38</v>
      </c>
      <c r="D280" s="3">
        <v>100000</v>
      </c>
      <c r="E280">
        <v>0</v>
      </c>
      <c r="F280" t="s">
        <v>27</v>
      </c>
      <c r="G280" t="s">
        <v>28</v>
      </c>
      <c r="H280" t="s">
        <v>15</v>
      </c>
      <c r="I280">
        <v>3</v>
      </c>
      <c r="J280" t="s">
        <v>45</v>
      </c>
      <c r="K280" t="s">
        <v>24</v>
      </c>
      <c r="L280">
        <v>35</v>
      </c>
      <c r="M280" t="str">
        <f t="shared" si="4"/>
        <v>Young Adult</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Early 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Early 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Early 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Young Adult</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Early 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Early 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Early Middle Age</v>
      </c>
      <c r="N296" t="s">
        <v>15</v>
      </c>
    </row>
    <row r="297" spans="1:14" x14ac:dyDescent="0.25">
      <c r="A297">
        <v>21557</v>
      </c>
      <c r="B297" t="s">
        <v>37</v>
      </c>
      <c r="C297" t="s">
        <v>39</v>
      </c>
      <c r="D297" s="3">
        <v>110000</v>
      </c>
      <c r="E297">
        <v>0</v>
      </c>
      <c r="F297" t="s">
        <v>19</v>
      </c>
      <c r="G297" t="s">
        <v>28</v>
      </c>
      <c r="H297" t="s">
        <v>15</v>
      </c>
      <c r="I297">
        <v>3</v>
      </c>
      <c r="J297" t="s">
        <v>45</v>
      </c>
      <c r="K297" t="s">
        <v>24</v>
      </c>
      <c r="L297">
        <v>32</v>
      </c>
      <c r="M297" t="str">
        <f t="shared" si="4"/>
        <v>Young Adult</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Early 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Early 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Elderly</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Middle Age</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Young Adult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Middle Age</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Early 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Early 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Middle Age</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Early 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Elderly</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Young Adult</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Middle Age</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Early 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Middle Age</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Young Adult</v>
      </c>
      <c r="N319" t="s">
        <v>15</v>
      </c>
    </row>
    <row r="320" spans="1:14" x14ac:dyDescent="0.25">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Early 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IF(L323&gt;=65,"Elderly",IF(L323&gt;=45,"Middle Age",IF(L323&gt;=36,"Early Middle Age","Young Adult")))</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Early 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Early 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Early 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Early 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Young Adult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Early 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Early Middle Age</v>
      </c>
      <c r="N330" t="s">
        <v>18</v>
      </c>
    </row>
    <row r="331" spans="1:14" x14ac:dyDescent="0.25">
      <c r="A331">
        <v>12663</v>
      </c>
      <c r="B331" t="s">
        <v>36</v>
      </c>
      <c r="C331" t="s">
        <v>39</v>
      </c>
      <c r="D331" s="3">
        <v>90000</v>
      </c>
      <c r="E331">
        <v>5</v>
      </c>
      <c r="F331" t="s">
        <v>29</v>
      </c>
      <c r="G331" t="s">
        <v>14</v>
      </c>
      <c r="H331" t="s">
        <v>15</v>
      </c>
      <c r="I331">
        <v>2</v>
      </c>
      <c r="J331" t="s">
        <v>45</v>
      </c>
      <c r="K331" t="s">
        <v>17</v>
      </c>
      <c r="L331">
        <v>59</v>
      </c>
      <c r="M331" t="str">
        <f t="shared" si="5"/>
        <v>Middle Age</v>
      </c>
      <c r="N331" t="s">
        <v>18</v>
      </c>
    </row>
    <row r="332" spans="1:14" x14ac:dyDescent="0.25">
      <c r="A332">
        <v>24898</v>
      </c>
      <c r="B332" t="s">
        <v>37</v>
      </c>
      <c r="C332" t="s">
        <v>39</v>
      </c>
      <c r="D332" s="3">
        <v>80000</v>
      </c>
      <c r="E332">
        <v>0</v>
      </c>
      <c r="F332" t="s">
        <v>13</v>
      </c>
      <c r="G332" t="s">
        <v>21</v>
      </c>
      <c r="H332" t="s">
        <v>15</v>
      </c>
      <c r="I332">
        <v>3</v>
      </c>
      <c r="J332" t="s">
        <v>45</v>
      </c>
      <c r="K332" t="s">
        <v>24</v>
      </c>
      <c r="L332">
        <v>32</v>
      </c>
      <c r="M332" t="str">
        <f t="shared" si="5"/>
        <v>Young Adult</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Young Adult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Young Adult</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Early 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Young Adult</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Young Adult</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Elderly</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Young Adult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Young Adult</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Young Adult</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Young Adult</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Young Adult</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Early 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Early 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Young Adult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Young Adult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Early 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Early 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Early Middle Age</v>
      </c>
      <c r="N356" t="s">
        <v>18</v>
      </c>
    </row>
    <row r="357" spans="1:14" x14ac:dyDescent="0.25">
      <c r="A357">
        <v>17238</v>
      </c>
      <c r="B357" t="s">
        <v>37</v>
      </c>
      <c r="C357" t="s">
        <v>38</v>
      </c>
      <c r="D357" s="3">
        <v>80000</v>
      </c>
      <c r="E357">
        <v>0</v>
      </c>
      <c r="F357" t="s">
        <v>13</v>
      </c>
      <c r="G357" t="s">
        <v>21</v>
      </c>
      <c r="H357" t="s">
        <v>15</v>
      </c>
      <c r="I357">
        <v>3</v>
      </c>
      <c r="J357" t="s">
        <v>45</v>
      </c>
      <c r="K357" t="s">
        <v>24</v>
      </c>
      <c r="L357">
        <v>32</v>
      </c>
      <c r="M357" t="str">
        <f t="shared" si="5"/>
        <v>Young Adult</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Young Adult</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Middle Age</v>
      </c>
      <c r="N360" t="s">
        <v>15</v>
      </c>
    </row>
    <row r="361" spans="1:14" x14ac:dyDescent="0.25">
      <c r="A361">
        <v>17230</v>
      </c>
      <c r="B361" t="s">
        <v>36</v>
      </c>
      <c r="C361" t="s">
        <v>38</v>
      </c>
      <c r="D361" s="3">
        <v>80000</v>
      </c>
      <c r="E361">
        <v>0</v>
      </c>
      <c r="F361" t="s">
        <v>13</v>
      </c>
      <c r="G361" t="s">
        <v>21</v>
      </c>
      <c r="H361" t="s">
        <v>15</v>
      </c>
      <c r="I361">
        <v>3</v>
      </c>
      <c r="J361" t="s">
        <v>45</v>
      </c>
      <c r="K361" t="s">
        <v>24</v>
      </c>
      <c r="L361">
        <v>30</v>
      </c>
      <c r="M361" t="str">
        <f t="shared" si="5"/>
        <v>Young Adult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Young Adult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Young Adult</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Elderly</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Early 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Early 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Middle Age</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Early 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Young Adult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Early 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Elderly</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Middle Age</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Middle Age</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Early Middle Age</v>
      </c>
      <c r="N381" t="s">
        <v>18</v>
      </c>
    </row>
    <row r="382" spans="1:14" x14ac:dyDescent="0.25">
      <c r="A382">
        <v>13620</v>
      </c>
      <c r="B382" t="s">
        <v>37</v>
      </c>
      <c r="C382" t="s">
        <v>38</v>
      </c>
      <c r="D382" s="3">
        <v>70000</v>
      </c>
      <c r="E382">
        <v>0</v>
      </c>
      <c r="F382" t="s">
        <v>13</v>
      </c>
      <c r="G382" t="s">
        <v>21</v>
      </c>
      <c r="H382" t="s">
        <v>18</v>
      </c>
      <c r="I382">
        <v>3</v>
      </c>
      <c r="J382" t="s">
        <v>45</v>
      </c>
      <c r="K382" t="s">
        <v>24</v>
      </c>
      <c r="L382">
        <v>30</v>
      </c>
      <c r="M382" t="str">
        <f t="shared" si="5"/>
        <v>Young Adult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Elderly</v>
      </c>
      <c r="N383" t="s">
        <v>18</v>
      </c>
    </row>
    <row r="384" spans="1:14" x14ac:dyDescent="0.25">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Early 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Young Adult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IF(L387&gt;=65,"Elderly",IF(L387&gt;=45,"Middle Age",IF(L387&gt;=36,"Early Middle Age","Young Adult")))</f>
        <v>Early Middle Age</v>
      </c>
      <c r="N387" t="s">
        <v>18</v>
      </c>
    </row>
    <row r="388" spans="1:14" x14ac:dyDescent="0.25">
      <c r="A388">
        <v>28957</v>
      </c>
      <c r="B388" t="s">
        <v>37</v>
      </c>
      <c r="C388" t="s">
        <v>39</v>
      </c>
      <c r="D388" s="3">
        <v>120000</v>
      </c>
      <c r="E388">
        <v>0</v>
      </c>
      <c r="F388" t="s">
        <v>29</v>
      </c>
      <c r="G388" t="s">
        <v>21</v>
      </c>
      <c r="H388" t="s">
        <v>15</v>
      </c>
      <c r="I388">
        <v>4</v>
      </c>
      <c r="J388" t="s">
        <v>45</v>
      </c>
      <c r="K388" t="s">
        <v>24</v>
      </c>
      <c r="L388">
        <v>34</v>
      </c>
      <c r="M388" t="str">
        <f t="shared" si="6"/>
        <v>Young Adult</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Young Adult</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Middle Age</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Early 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Early 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Early 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Young Adult</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Early 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Early 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Early 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Early 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Elderly</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Early 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Early 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Early 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Early 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Early 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Young Adult</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Early 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Young Adult</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Elderly</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Young Adult</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Early 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Early 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Elderly</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Early 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45</v>
      </c>
      <c r="K422" t="s">
        <v>17</v>
      </c>
      <c r="L422">
        <v>59</v>
      </c>
      <c r="M422" t="str">
        <f t="shared" si="6"/>
        <v>Middle Age</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45</v>
      </c>
      <c r="K424" t="s">
        <v>24</v>
      </c>
      <c r="L424">
        <v>32</v>
      </c>
      <c r="M424" t="str">
        <f t="shared" si="6"/>
        <v>Young Adult</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Young Adult</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Early 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Elderly</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Young Adult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Early 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Young Adult</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Young Adult</v>
      </c>
      <c r="N433" t="s">
        <v>15</v>
      </c>
    </row>
    <row r="434" spans="1:14" x14ac:dyDescent="0.25">
      <c r="A434">
        <v>21891</v>
      </c>
      <c r="B434" t="s">
        <v>36</v>
      </c>
      <c r="C434" t="s">
        <v>39</v>
      </c>
      <c r="D434" s="3">
        <v>110000</v>
      </c>
      <c r="E434">
        <v>0</v>
      </c>
      <c r="F434" t="s">
        <v>27</v>
      </c>
      <c r="G434" t="s">
        <v>28</v>
      </c>
      <c r="H434" t="s">
        <v>15</v>
      </c>
      <c r="I434">
        <v>3</v>
      </c>
      <c r="J434" t="s">
        <v>45</v>
      </c>
      <c r="K434" t="s">
        <v>24</v>
      </c>
      <c r="L434">
        <v>34</v>
      </c>
      <c r="M434" t="str">
        <f t="shared" si="6"/>
        <v>Young Adult</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Young Adult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Elderly</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Young Adult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Early 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Early Middle Age</v>
      </c>
      <c r="N441" t="s">
        <v>18</v>
      </c>
    </row>
    <row r="442" spans="1:14" x14ac:dyDescent="0.25">
      <c r="A442">
        <v>21561</v>
      </c>
      <c r="B442" t="s">
        <v>37</v>
      </c>
      <c r="C442" t="s">
        <v>38</v>
      </c>
      <c r="D442" s="3">
        <v>90000</v>
      </c>
      <c r="E442">
        <v>0</v>
      </c>
      <c r="F442" t="s">
        <v>13</v>
      </c>
      <c r="G442" t="s">
        <v>21</v>
      </c>
      <c r="H442" t="s">
        <v>18</v>
      </c>
      <c r="I442">
        <v>3</v>
      </c>
      <c r="J442" t="s">
        <v>45</v>
      </c>
      <c r="K442" t="s">
        <v>24</v>
      </c>
      <c r="L442">
        <v>34</v>
      </c>
      <c r="M442" t="str">
        <f t="shared" si="6"/>
        <v>Young Adult</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Early 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Early 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Young Adult</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Young Adult</v>
      </c>
      <c r="N447" t="s">
        <v>15</v>
      </c>
    </row>
    <row r="448" spans="1:14" x14ac:dyDescent="0.25">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Young Adult</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IF(L451&gt;=65,"Elderly",IF(L451&gt;=45,"Middle Age",IF(L451&gt;=36,"Early Middle Age","Young Adult")))</f>
        <v>Early 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Early 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Early 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Elderly</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Young Adult</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Elderly</v>
      </c>
      <c r="N459" t="s">
        <v>18</v>
      </c>
    </row>
    <row r="460" spans="1:14" x14ac:dyDescent="0.25">
      <c r="A460">
        <v>21560</v>
      </c>
      <c r="B460" t="s">
        <v>36</v>
      </c>
      <c r="C460" t="s">
        <v>38</v>
      </c>
      <c r="D460" s="3">
        <v>120000</v>
      </c>
      <c r="E460">
        <v>0</v>
      </c>
      <c r="F460" t="s">
        <v>29</v>
      </c>
      <c r="G460" t="s">
        <v>21</v>
      </c>
      <c r="H460" t="s">
        <v>15</v>
      </c>
      <c r="I460">
        <v>4</v>
      </c>
      <c r="J460" t="s">
        <v>45</v>
      </c>
      <c r="K460" t="s">
        <v>24</v>
      </c>
      <c r="L460">
        <v>32</v>
      </c>
      <c r="M460" t="str">
        <f t="shared" si="7"/>
        <v>Young Adult</v>
      </c>
      <c r="N460" t="s">
        <v>15</v>
      </c>
    </row>
    <row r="461" spans="1:14" x14ac:dyDescent="0.25">
      <c r="A461">
        <v>21554</v>
      </c>
      <c r="B461" t="s">
        <v>37</v>
      </c>
      <c r="C461" t="s">
        <v>39</v>
      </c>
      <c r="D461" s="3">
        <v>80000</v>
      </c>
      <c r="E461">
        <v>0</v>
      </c>
      <c r="F461" t="s">
        <v>13</v>
      </c>
      <c r="G461" t="s">
        <v>21</v>
      </c>
      <c r="H461" t="s">
        <v>18</v>
      </c>
      <c r="I461">
        <v>3</v>
      </c>
      <c r="J461" t="s">
        <v>45</v>
      </c>
      <c r="K461" t="s">
        <v>24</v>
      </c>
      <c r="L461">
        <v>33</v>
      </c>
      <c r="M461" t="str">
        <f t="shared" si="7"/>
        <v>Young Adult</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Young Adult</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Early 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Early 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Elderly</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Early 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Elderly</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Young Adult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Early 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Early 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Early 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Middle Age</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Early 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Young Adult</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Young Adult</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Young Adult</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Early 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Elderly</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Young Adult</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Early Middle Age</v>
      </c>
      <c r="N487" t="s">
        <v>18</v>
      </c>
    </row>
    <row r="488" spans="1:14" x14ac:dyDescent="0.25">
      <c r="A488">
        <v>26415</v>
      </c>
      <c r="B488" t="s">
        <v>36</v>
      </c>
      <c r="C488" t="s">
        <v>39</v>
      </c>
      <c r="D488" s="3">
        <v>90000</v>
      </c>
      <c r="E488">
        <v>4</v>
      </c>
      <c r="F488" t="s">
        <v>29</v>
      </c>
      <c r="G488" t="s">
        <v>14</v>
      </c>
      <c r="H488" t="s">
        <v>15</v>
      </c>
      <c r="I488">
        <v>4</v>
      </c>
      <c r="J488" t="s">
        <v>45</v>
      </c>
      <c r="K488" t="s">
        <v>17</v>
      </c>
      <c r="L488">
        <v>58</v>
      </c>
      <c r="M488" t="str">
        <f t="shared" si="7"/>
        <v>Middle Age</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Early 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Young Adult</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Young Adult</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Young Adult</v>
      </c>
      <c r="N494" t="s">
        <v>15</v>
      </c>
    </row>
    <row r="495" spans="1:14" x14ac:dyDescent="0.25">
      <c r="A495">
        <v>23707</v>
      </c>
      <c r="B495" t="s">
        <v>37</v>
      </c>
      <c r="C495" t="s">
        <v>38</v>
      </c>
      <c r="D495" s="3">
        <v>70000</v>
      </c>
      <c r="E495">
        <v>5</v>
      </c>
      <c r="F495" t="s">
        <v>13</v>
      </c>
      <c r="G495" t="s">
        <v>28</v>
      </c>
      <c r="H495" t="s">
        <v>15</v>
      </c>
      <c r="I495">
        <v>3</v>
      </c>
      <c r="J495" t="s">
        <v>45</v>
      </c>
      <c r="K495" t="s">
        <v>32</v>
      </c>
      <c r="L495">
        <v>60</v>
      </c>
      <c r="M495" t="str">
        <f t="shared" si="7"/>
        <v>Middle Age</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45</v>
      </c>
      <c r="K497" t="s">
        <v>32</v>
      </c>
      <c r="L497">
        <v>56</v>
      </c>
      <c r="M497" t="str">
        <f t="shared" si="7"/>
        <v>Middle Age</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Early 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Young Adult</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Young Adult</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Young Adult</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Young Adult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Early 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Early 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Early 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Early 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Young Adult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Early 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Elderly</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45</v>
      </c>
      <c r="K515" t="s">
        <v>32</v>
      </c>
      <c r="L515">
        <v>61</v>
      </c>
      <c r="M515" t="str">
        <f t="shared" ref="M515:M578" si="8">IF(L515&gt;=65,"Elderly",IF(L515&gt;=45,"Middle Age",IF(L515&gt;=36,"Early Middle Age","Young Adult")))</f>
        <v>Middle Age</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Young Adult</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Middle Age</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Early Middle Age</v>
      </c>
      <c r="N522" t="s">
        <v>18</v>
      </c>
    </row>
    <row r="523" spans="1:14" x14ac:dyDescent="0.25">
      <c r="A523">
        <v>18976</v>
      </c>
      <c r="B523" t="s">
        <v>37</v>
      </c>
      <c r="C523" t="s">
        <v>38</v>
      </c>
      <c r="D523" s="3">
        <v>40000</v>
      </c>
      <c r="E523">
        <v>4</v>
      </c>
      <c r="F523" t="s">
        <v>27</v>
      </c>
      <c r="G523" t="s">
        <v>21</v>
      </c>
      <c r="H523" t="s">
        <v>15</v>
      </c>
      <c r="I523">
        <v>2</v>
      </c>
      <c r="J523" t="s">
        <v>45</v>
      </c>
      <c r="K523" t="s">
        <v>32</v>
      </c>
      <c r="L523">
        <v>62</v>
      </c>
      <c r="M523" t="str">
        <f t="shared" si="8"/>
        <v>Middle Age</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Elderly</v>
      </c>
      <c r="N526" t="s">
        <v>18</v>
      </c>
    </row>
    <row r="527" spans="1:14" x14ac:dyDescent="0.25">
      <c r="A527">
        <v>16791</v>
      </c>
      <c r="B527" t="s">
        <v>37</v>
      </c>
      <c r="C527" t="s">
        <v>38</v>
      </c>
      <c r="D527" s="3">
        <v>60000</v>
      </c>
      <c r="E527">
        <v>5</v>
      </c>
      <c r="F527" t="s">
        <v>13</v>
      </c>
      <c r="G527" t="s">
        <v>28</v>
      </c>
      <c r="H527" t="s">
        <v>15</v>
      </c>
      <c r="I527">
        <v>3</v>
      </c>
      <c r="J527" t="s">
        <v>45</v>
      </c>
      <c r="K527" t="s">
        <v>32</v>
      </c>
      <c r="L527">
        <v>59</v>
      </c>
      <c r="M527" t="str">
        <f t="shared" si="8"/>
        <v>Middle Age</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Early 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Early 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Young Adult</v>
      </c>
      <c r="N530" t="s">
        <v>18</v>
      </c>
    </row>
    <row r="531" spans="1:14" x14ac:dyDescent="0.25">
      <c r="A531">
        <v>13233</v>
      </c>
      <c r="B531" t="s">
        <v>36</v>
      </c>
      <c r="C531" t="s">
        <v>38</v>
      </c>
      <c r="D531" s="3">
        <v>60000</v>
      </c>
      <c r="E531">
        <v>2</v>
      </c>
      <c r="F531" t="s">
        <v>19</v>
      </c>
      <c r="G531" t="s">
        <v>21</v>
      </c>
      <c r="H531" t="s">
        <v>15</v>
      </c>
      <c r="I531">
        <v>1</v>
      </c>
      <c r="J531" t="s">
        <v>45</v>
      </c>
      <c r="K531" t="s">
        <v>32</v>
      </c>
      <c r="L531">
        <v>57</v>
      </c>
      <c r="M531" t="str">
        <f t="shared" si="8"/>
        <v>Middle Age</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Young Adult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Young Adult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Early Middle Age</v>
      </c>
      <c r="N534" t="s">
        <v>15</v>
      </c>
    </row>
    <row r="535" spans="1:14" x14ac:dyDescent="0.25">
      <c r="A535">
        <v>24941</v>
      </c>
      <c r="B535" t="s">
        <v>36</v>
      </c>
      <c r="C535" t="s">
        <v>38</v>
      </c>
      <c r="D535" s="3">
        <v>60000</v>
      </c>
      <c r="E535">
        <v>3</v>
      </c>
      <c r="F535" t="s">
        <v>13</v>
      </c>
      <c r="G535" t="s">
        <v>28</v>
      </c>
      <c r="H535" t="s">
        <v>15</v>
      </c>
      <c r="I535">
        <v>2</v>
      </c>
      <c r="J535" t="s">
        <v>45</v>
      </c>
      <c r="K535" t="s">
        <v>32</v>
      </c>
      <c r="L535">
        <v>66</v>
      </c>
      <c r="M535" t="str">
        <f t="shared" si="8"/>
        <v>Elderly</v>
      </c>
      <c r="N535" t="s">
        <v>18</v>
      </c>
    </row>
    <row r="536" spans="1:14" x14ac:dyDescent="0.25">
      <c r="A536">
        <v>24637</v>
      </c>
      <c r="B536" t="s">
        <v>36</v>
      </c>
      <c r="C536" t="s">
        <v>38</v>
      </c>
      <c r="D536" s="3">
        <v>40000</v>
      </c>
      <c r="E536">
        <v>4</v>
      </c>
      <c r="F536" t="s">
        <v>27</v>
      </c>
      <c r="G536" t="s">
        <v>21</v>
      </c>
      <c r="H536" t="s">
        <v>15</v>
      </c>
      <c r="I536">
        <v>2</v>
      </c>
      <c r="J536" t="s">
        <v>45</v>
      </c>
      <c r="K536" t="s">
        <v>32</v>
      </c>
      <c r="L536">
        <v>64</v>
      </c>
      <c r="M536" t="str">
        <f t="shared" si="8"/>
        <v>Middle Age</v>
      </c>
      <c r="N536" t="s">
        <v>18</v>
      </c>
    </row>
    <row r="537" spans="1:14" x14ac:dyDescent="0.25">
      <c r="A537">
        <v>23893</v>
      </c>
      <c r="B537" t="s">
        <v>36</v>
      </c>
      <c r="C537" t="s">
        <v>38</v>
      </c>
      <c r="D537" s="3">
        <v>50000</v>
      </c>
      <c r="E537">
        <v>3</v>
      </c>
      <c r="F537" t="s">
        <v>13</v>
      </c>
      <c r="G537" t="s">
        <v>14</v>
      </c>
      <c r="H537" t="s">
        <v>15</v>
      </c>
      <c r="I537">
        <v>3</v>
      </c>
      <c r="J537" t="s">
        <v>45</v>
      </c>
      <c r="K537" t="s">
        <v>32</v>
      </c>
      <c r="L537">
        <v>41</v>
      </c>
      <c r="M537" t="str">
        <f t="shared" si="8"/>
        <v>Early 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Early 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Early 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Early 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Young Adult</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Young Adult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Early 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Young Adult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Early 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Early Middle Age</v>
      </c>
      <c r="N552" t="s">
        <v>15</v>
      </c>
    </row>
    <row r="553" spans="1:14" x14ac:dyDescent="0.25">
      <c r="A553">
        <v>27393</v>
      </c>
      <c r="B553" t="s">
        <v>36</v>
      </c>
      <c r="C553" t="s">
        <v>39</v>
      </c>
      <c r="D553" s="3">
        <v>50000</v>
      </c>
      <c r="E553">
        <v>4</v>
      </c>
      <c r="F553" t="s">
        <v>13</v>
      </c>
      <c r="G553" t="s">
        <v>28</v>
      </c>
      <c r="H553" t="s">
        <v>15</v>
      </c>
      <c r="I553">
        <v>2</v>
      </c>
      <c r="J553" t="s">
        <v>45</v>
      </c>
      <c r="K553" t="s">
        <v>32</v>
      </c>
      <c r="L553">
        <v>63</v>
      </c>
      <c r="M553" t="str">
        <f t="shared" si="8"/>
        <v>Middle Age</v>
      </c>
      <c r="N553" t="s">
        <v>18</v>
      </c>
    </row>
    <row r="554" spans="1:14" x14ac:dyDescent="0.25">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Elderly</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Early 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Early 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Early 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Young Adult</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Early Middle Age</v>
      </c>
      <c r="N560" t="s">
        <v>18</v>
      </c>
    </row>
    <row r="561" spans="1:14" x14ac:dyDescent="0.25">
      <c r="A561">
        <v>15895</v>
      </c>
      <c r="B561" t="s">
        <v>37</v>
      </c>
      <c r="C561" t="s">
        <v>39</v>
      </c>
      <c r="D561" s="3">
        <v>60000</v>
      </c>
      <c r="E561">
        <v>2</v>
      </c>
      <c r="F561" t="s">
        <v>13</v>
      </c>
      <c r="G561" t="s">
        <v>28</v>
      </c>
      <c r="H561" t="s">
        <v>15</v>
      </c>
      <c r="I561">
        <v>0</v>
      </c>
      <c r="J561" t="s">
        <v>45</v>
      </c>
      <c r="K561" t="s">
        <v>32</v>
      </c>
      <c r="L561">
        <v>58</v>
      </c>
      <c r="M561" t="str">
        <f t="shared" si="8"/>
        <v>Middle Age</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Early 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Young Adult</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Young Adult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Young Adult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Elderly</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Early Middle Age</v>
      </c>
      <c r="N570" t="s">
        <v>15</v>
      </c>
    </row>
    <row r="571" spans="1:14" x14ac:dyDescent="0.25">
      <c r="A571">
        <v>26452</v>
      </c>
      <c r="B571" t="s">
        <v>37</v>
      </c>
      <c r="C571" t="s">
        <v>38</v>
      </c>
      <c r="D571" s="3">
        <v>50000</v>
      </c>
      <c r="E571">
        <v>3</v>
      </c>
      <c r="F571" t="s">
        <v>31</v>
      </c>
      <c r="G571" t="s">
        <v>28</v>
      </c>
      <c r="H571" t="s">
        <v>15</v>
      </c>
      <c r="I571">
        <v>2</v>
      </c>
      <c r="J571" t="s">
        <v>45</v>
      </c>
      <c r="K571" t="s">
        <v>32</v>
      </c>
      <c r="L571">
        <v>69</v>
      </c>
      <c r="M571" t="str">
        <f t="shared" si="8"/>
        <v>Elderly</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Young Adult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Middle Age</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Young Adult</v>
      </c>
      <c r="N576" t="s">
        <v>15</v>
      </c>
    </row>
    <row r="577" spans="1:14" x14ac:dyDescent="0.25">
      <c r="A577">
        <v>13388</v>
      </c>
      <c r="B577" t="s">
        <v>37</v>
      </c>
      <c r="C577" t="s">
        <v>38</v>
      </c>
      <c r="D577" s="3">
        <v>60000</v>
      </c>
      <c r="E577">
        <v>2</v>
      </c>
      <c r="F577" t="s">
        <v>19</v>
      </c>
      <c r="G577" t="s">
        <v>21</v>
      </c>
      <c r="H577" t="s">
        <v>15</v>
      </c>
      <c r="I577">
        <v>1</v>
      </c>
      <c r="J577" t="s">
        <v>45</v>
      </c>
      <c r="K577" t="s">
        <v>32</v>
      </c>
      <c r="L577">
        <v>56</v>
      </c>
      <c r="M577" t="str">
        <f t="shared" si="8"/>
        <v>Middle Age</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Young Adult</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IF(L579&gt;=65,"Elderly",IF(L579&gt;=45,"Middle Age",IF(L579&gt;=36,"Early Middle Age","Young Adult")))</f>
        <v>Early 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Middle Age</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Young Adult</v>
      </c>
      <c r="N581" t="s">
        <v>18</v>
      </c>
    </row>
    <row r="582" spans="1:14" x14ac:dyDescent="0.25">
      <c r="A582">
        <v>20380</v>
      </c>
      <c r="B582" t="s">
        <v>36</v>
      </c>
      <c r="C582" t="s">
        <v>39</v>
      </c>
      <c r="D582" s="3">
        <v>60000</v>
      </c>
      <c r="E582">
        <v>3</v>
      </c>
      <c r="F582" t="s">
        <v>31</v>
      </c>
      <c r="G582" t="s">
        <v>28</v>
      </c>
      <c r="H582" t="s">
        <v>15</v>
      </c>
      <c r="I582">
        <v>2</v>
      </c>
      <c r="J582" t="s">
        <v>45</v>
      </c>
      <c r="K582" t="s">
        <v>32</v>
      </c>
      <c r="L582">
        <v>69</v>
      </c>
      <c r="M582" t="str">
        <f t="shared" si="9"/>
        <v>Elderly</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Young Adult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45</v>
      </c>
      <c r="K585" t="s">
        <v>32</v>
      </c>
      <c r="L585">
        <v>66</v>
      </c>
      <c r="M585" t="str">
        <f t="shared" si="9"/>
        <v>Elderly</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Early 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Early 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Early Middle Age</v>
      </c>
      <c r="N589" t="s">
        <v>18</v>
      </c>
    </row>
    <row r="590" spans="1:14" x14ac:dyDescent="0.25">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45</v>
      </c>
      <c r="K591" t="s">
        <v>32</v>
      </c>
      <c r="L591">
        <v>57</v>
      </c>
      <c r="M591" t="str">
        <f t="shared" si="9"/>
        <v>Middle Age</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Young Adult</v>
      </c>
      <c r="N592" t="s">
        <v>15</v>
      </c>
    </row>
    <row r="593" spans="1:14" x14ac:dyDescent="0.25">
      <c r="A593">
        <v>18545</v>
      </c>
      <c r="B593" t="s">
        <v>36</v>
      </c>
      <c r="C593" t="s">
        <v>38</v>
      </c>
      <c r="D593" s="3">
        <v>40000</v>
      </c>
      <c r="E593">
        <v>4</v>
      </c>
      <c r="F593" t="s">
        <v>27</v>
      </c>
      <c r="G593" t="s">
        <v>21</v>
      </c>
      <c r="H593" t="s">
        <v>18</v>
      </c>
      <c r="I593">
        <v>2</v>
      </c>
      <c r="J593" t="s">
        <v>45</v>
      </c>
      <c r="K593" t="s">
        <v>32</v>
      </c>
      <c r="L593">
        <v>61</v>
      </c>
      <c r="M593" t="str">
        <f t="shared" si="9"/>
        <v>Middle Age</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Early 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Elderly</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Elderly</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Middle Age</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Early 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Middle Age</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Early 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Young Adult</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Young Adult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Early Middle Age</v>
      </c>
      <c r="N608" t="s">
        <v>18</v>
      </c>
    </row>
    <row r="609" spans="1:14" x14ac:dyDescent="0.25">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Early 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Early 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Young Adult</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Young Adult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Early 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Young Adult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Early 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Middle Age</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Young Adult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Elderly</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Young Adult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Elderly</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Young Adult</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Young Adult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Early 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Elderly</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Early 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Young Adult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Elderly</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Elderly</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Middle Age</v>
      </c>
      <c r="N642" t="s">
        <v>15</v>
      </c>
    </row>
    <row r="643" spans="1:14" x14ac:dyDescent="0.25">
      <c r="A643">
        <v>21441</v>
      </c>
      <c r="B643" t="s">
        <v>36</v>
      </c>
      <c r="C643" t="s">
        <v>38</v>
      </c>
      <c r="D643" s="3">
        <v>50000</v>
      </c>
      <c r="E643">
        <v>4</v>
      </c>
      <c r="F643" t="s">
        <v>13</v>
      </c>
      <c r="G643" t="s">
        <v>28</v>
      </c>
      <c r="H643" t="s">
        <v>15</v>
      </c>
      <c r="I643">
        <v>2</v>
      </c>
      <c r="J643" t="s">
        <v>45</v>
      </c>
      <c r="K643" t="s">
        <v>32</v>
      </c>
      <c r="L643">
        <v>64</v>
      </c>
      <c r="M643" t="str">
        <f t="shared" ref="M643:M706" si="10">IF(L643&gt;=65,"Elderly",IF(L643&gt;=45,"Middle Age",IF(L643&gt;=36,"Early Middle Age","Young Adult")))</f>
        <v>Middle Age</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Young Adult</v>
      </c>
      <c r="N645" t="s">
        <v>15</v>
      </c>
    </row>
    <row r="646" spans="1:14" x14ac:dyDescent="0.25">
      <c r="A646">
        <v>23368</v>
      </c>
      <c r="B646" t="s">
        <v>36</v>
      </c>
      <c r="C646" t="s">
        <v>39</v>
      </c>
      <c r="D646" s="3">
        <v>60000</v>
      </c>
      <c r="E646">
        <v>5</v>
      </c>
      <c r="F646" t="s">
        <v>13</v>
      </c>
      <c r="G646" t="s">
        <v>14</v>
      </c>
      <c r="H646" t="s">
        <v>15</v>
      </c>
      <c r="I646">
        <v>3</v>
      </c>
      <c r="J646" t="s">
        <v>45</v>
      </c>
      <c r="K646" t="s">
        <v>32</v>
      </c>
      <c r="L646">
        <v>41</v>
      </c>
      <c r="M646" t="str">
        <f t="shared" si="10"/>
        <v>Early 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Early 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Young Adult</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Middle Age</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Early Middle Age</v>
      </c>
      <c r="N651" t="s">
        <v>15</v>
      </c>
    </row>
    <row r="652" spans="1:14" x14ac:dyDescent="0.25">
      <c r="A652">
        <v>18435</v>
      </c>
      <c r="B652" t="s">
        <v>37</v>
      </c>
      <c r="C652" t="s">
        <v>39</v>
      </c>
      <c r="D652" s="3">
        <v>70000</v>
      </c>
      <c r="E652">
        <v>5</v>
      </c>
      <c r="F652" t="s">
        <v>31</v>
      </c>
      <c r="G652" t="s">
        <v>28</v>
      </c>
      <c r="H652" t="s">
        <v>15</v>
      </c>
      <c r="I652">
        <v>2</v>
      </c>
      <c r="J652" t="s">
        <v>45</v>
      </c>
      <c r="K652" t="s">
        <v>32</v>
      </c>
      <c r="L652">
        <v>67</v>
      </c>
      <c r="M652" t="str">
        <f t="shared" si="10"/>
        <v>Elderly</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Young Adult</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Young Adult</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Young Adult</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Young Adult</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Early 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Early Middle Age</v>
      </c>
      <c r="N660" t="s">
        <v>15</v>
      </c>
    </row>
    <row r="661" spans="1:14" x14ac:dyDescent="0.25">
      <c r="A661">
        <v>24643</v>
      </c>
      <c r="B661" t="s">
        <v>37</v>
      </c>
      <c r="C661" t="s">
        <v>39</v>
      </c>
      <c r="D661" s="3">
        <v>60000</v>
      </c>
      <c r="E661">
        <v>4</v>
      </c>
      <c r="F661" t="s">
        <v>13</v>
      </c>
      <c r="G661" t="s">
        <v>28</v>
      </c>
      <c r="H661" t="s">
        <v>15</v>
      </c>
      <c r="I661">
        <v>2</v>
      </c>
      <c r="J661" t="s">
        <v>45</v>
      </c>
      <c r="K661" t="s">
        <v>32</v>
      </c>
      <c r="L661">
        <v>63</v>
      </c>
      <c r="M661" t="str">
        <f t="shared" si="10"/>
        <v>Middle Age</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Early 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Young Adult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Early 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Early 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Early 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45</v>
      </c>
      <c r="K669" t="s">
        <v>32</v>
      </c>
      <c r="L669">
        <v>61</v>
      </c>
      <c r="M669" t="str">
        <f t="shared" si="10"/>
        <v>Middle Age</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Early 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45</v>
      </c>
      <c r="K672" t="s">
        <v>32</v>
      </c>
      <c r="L672">
        <v>59</v>
      </c>
      <c r="M672" t="str">
        <f t="shared" si="10"/>
        <v>Middle Age</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Early 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Young Adult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Young Adult</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Early 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Middle Age</v>
      </c>
      <c r="N680" t="s">
        <v>18</v>
      </c>
    </row>
    <row r="681" spans="1:14" x14ac:dyDescent="0.25">
      <c r="A681">
        <v>21770</v>
      </c>
      <c r="B681" t="s">
        <v>36</v>
      </c>
      <c r="C681" t="s">
        <v>38</v>
      </c>
      <c r="D681" s="3">
        <v>60000</v>
      </c>
      <c r="E681">
        <v>4</v>
      </c>
      <c r="F681" t="s">
        <v>13</v>
      </c>
      <c r="G681" t="s">
        <v>28</v>
      </c>
      <c r="H681" t="s">
        <v>15</v>
      </c>
      <c r="I681">
        <v>2</v>
      </c>
      <c r="J681" t="s">
        <v>45</v>
      </c>
      <c r="K681" t="s">
        <v>32</v>
      </c>
      <c r="L681">
        <v>60</v>
      </c>
      <c r="M681" t="str">
        <f t="shared" si="10"/>
        <v>Middle Age</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Young Adult</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Early 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Early 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Young Adult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Young Adult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Young Adult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Young Adult</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Early 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Early 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Early 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Early 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Young Adult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Young Adult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Early 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Middle Age</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Young Adult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Young Adult</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Early Middle Age</v>
      </c>
      <c r="N706" t="s">
        <v>15</v>
      </c>
    </row>
    <row r="707" spans="1:14" x14ac:dyDescent="0.25">
      <c r="A707">
        <v>11199</v>
      </c>
      <c r="B707" t="s">
        <v>36</v>
      </c>
      <c r="C707" t="s">
        <v>39</v>
      </c>
      <c r="D707" s="3">
        <v>70000</v>
      </c>
      <c r="E707">
        <v>4</v>
      </c>
      <c r="F707" t="s">
        <v>13</v>
      </c>
      <c r="G707" t="s">
        <v>28</v>
      </c>
      <c r="H707" t="s">
        <v>15</v>
      </c>
      <c r="I707">
        <v>1</v>
      </c>
      <c r="J707" t="s">
        <v>45</v>
      </c>
      <c r="K707" t="s">
        <v>32</v>
      </c>
      <c r="L707">
        <v>59</v>
      </c>
      <c r="M707" t="str">
        <f t="shared" ref="M707:M770" si="11">IF(L707&gt;=65,"Elderly",IF(L707&gt;=45,"Middle Age",IF(L707&gt;=36,"Early Middle Age","Young Adult")))</f>
        <v>Middle Age</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Young Adult</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Early Middle Age</v>
      </c>
      <c r="N709" t="s">
        <v>15</v>
      </c>
    </row>
    <row r="710" spans="1:14" x14ac:dyDescent="0.25">
      <c r="A710">
        <v>18069</v>
      </c>
      <c r="B710" t="s">
        <v>36</v>
      </c>
      <c r="C710" t="s">
        <v>38</v>
      </c>
      <c r="D710" s="3">
        <v>70000</v>
      </c>
      <c r="E710">
        <v>5</v>
      </c>
      <c r="F710" t="s">
        <v>13</v>
      </c>
      <c r="G710" t="s">
        <v>28</v>
      </c>
      <c r="H710" t="s">
        <v>15</v>
      </c>
      <c r="I710">
        <v>4</v>
      </c>
      <c r="J710" t="s">
        <v>45</v>
      </c>
      <c r="K710" t="s">
        <v>32</v>
      </c>
      <c r="L710">
        <v>60</v>
      </c>
      <c r="M710" t="str">
        <f t="shared" si="11"/>
        <v>Middle Age</v>
      </c>
      <c r="N710" t="s">
        <v>18</v>
      </c>
    </row>
    <row r="711" spans="1:14" x14ac:dyDescent="0.25">
      <c r="A711">
        <v>23712</v>
      </c>
      <c r="B711" t="s">
        <v>37</v>
      </c>
      <c r="C711" t="s">
        <v>39</v>
      </c>
      <c r="D711" s="3">
        <v>70000</v>
      </c>
      <c r="E711">
        <v>2</v>
      </c>
      <c r="F711" t="s">
        <v>13</v>
      </c>
      <c r="G711" t="s">
        <v>28</v>
      </c>
      <c r="H711" t="s">
        <v>15</v>
      </c>
      <c r="I711">
        <v>1</v>
      </c>
      <c r="J711" t="s">
        <v>45</v>
      </c>
      <c r="K711" t="s">
        <v>32</v>
      </c>
      <c r="L711">
        <v>59</v>
      </c>
      <c r="M711" t="str">
        <f t="shared" si="11"/>
        <v>Middle Age</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Young Adult</v>
      </c>
      <c r="N712" t="s">
        <v>15</v>
      </c>
    </row>
    <row r="713" spans="1:14" x14ac:dyDescent="0.25">
      <c r="A713">
        <v>20518</v>
      </c>
      <c r="B713" t="s">
        <v>36</v>
      </c>
      <c r="C713" t="s">
        <v>39</v>
      </c>
      <c r="D713" s="3">
        <v>70000</v>
      </c>
      <c r="E713">
        <v>2</v>
      </c>
      <c r="F713" t="s">
        <v>19</v>
      </c>
      <c r="G713" t="s">
        <v>21</v>
      </c>
      <c r="H713" t="s">
        <v>15</v>
      </c>
      <c r="I713">
        <v>1</v>
      </c>
      <c r="J713" t="s">
        <v>45</v>
      </c>
      <c r="K713" t="s">
        <v>32</v>
      </c>
      <c r="L713">
        <v>58</v>
      </c>
      <c r="M713" t="str">
        <f t="shared" si="11"/>
        <v>Middle Age</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Early 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Young Adult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Early 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Early 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Early 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Early 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Early 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Middle Age</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Early 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Early 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Young Adult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Early 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Early 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Early 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Young Adult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Young Adult</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45</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Young Adult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Young Adult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45</v>
      </c>
      <c r="K746" t="s">
        <v>32</v>
      </c>
      <c r="L746">
        <v>56</v>
      </c>
      <c r="M746" t="str">
        <f t="shared" si="11"/>
        <v>Middle Age</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45</v>
      </c>
      <c r="K748" t="s">
        <v>32</v>
      </c>
      <c r="L748">
        <v>56</v>
      </c>
      <c r="M748" t="str">
        <f t="shared" si="11"/>
        <v>Middle Age</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Early 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Elderly</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Early 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Young Adult</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Young Adult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Middle Age</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Early 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Early 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45</v>
      </c>
      <c r="K763" t="s">
        <v>32</v>
      </c>
      <c r="L763">
        <v>59</v>
      </c>
      <c r="M763" t="str">
        <f t="shared" si="11"/>
        <v>Middle Age</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Early 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Young Adult</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Young Adult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Young Adult</v>
      </c>
      <c r="N767" t="s">
        <v>15</v>
      </c>
    </row>
    <row r="768" spans="1:14" x14ac:dyDescent="0.25">
      <c r="A768">
        <v>14608</v>
      </c>
      <c r="B768" t="s">
        <v>36</v>
      </c>
      <c r="C768" t="s">
        <v>38</v>
      </c>
      <c r="D768" s="3">
        <v>50000</v>
      </c>
      <c r="E768">
        <v>4</v>
      </c>
      <c r="F768" t="s">
        <v>13</v>
      </c>
      <c r="G768" t="s">
        <v>14</v>
      </c>
      <c r="H768" t="s">
        <v>15</v>
      </c>
      <c r="I768">
        <v>3</v>
      </c>
      <c r="J768" t="s">
        <v>45</v>
      </c>
      <c r="K768" t="s">
        <v>32</v>
      </c>
      <c r="L768">
        <v>42</v>
      </c>
      <c r="M768" t="str">
        <f t="shared" si="11"/>
        <v>Early 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Middle Age</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IF(L771&gt;=65,"Elderly",IF(L771&gt;=45,"Middle Age",IF(L771&gt;=36,"Early Middle Age","Young Adult")))</f>
        <v>Early 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Young Adult</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Early Middle Age</v>
      </c>
      <c r="N776" t="s">
        <v>15</v>
      </c>
    </row>
    <row r="777" spans="1:14" x14ac:dyDescent="0.25">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Middle Age</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Young Adult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Early 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45</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Early 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Early 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Early 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Young Adult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Young Adult</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Young Adult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Elderly</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Middle Age</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Young Adult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Young Adult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Young Adult</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Early 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Elderly</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Young Adult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Young Adult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Young Adult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Young Adult</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Young Adult</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Elderly</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Young Adult</v>
      </c>
      <c r="N813" t="s">
        <v>18</v>
      </c>
    </row>
    <row r="814" spans="1:14" x14ac:dyDescent="0.25">
      <c r="A814">
        <v>15749</v>
      </c>
      <c r="B814" t="s">
        <v>37</v>
      </c>
      <c r="C814" t="s">
        <v>39</v>
      </c>
      <c r="D814" s="3">
        <v>70000</v>
      </c>
      <c r="E814">
        <v>4</v>
      </c>
      <c r="F814" t="s">
        <v>13</v>
      </c>
      <c r="G814" t="s">
        <v>28</v>
      </c>
      <c r="H814" t="s">
        <v>15</v>
      </c>
      <c r="I814">
        <v>2</v>
      </c>
      <c r="J814" t="s">
        <v>45</v>
      </c>
      <c r="K814" t="s">
        <v>32</v>
      </c>
      <c r="L814">
        <v>61</v>
      </c>
      <c r="M814" t="str">
        <f t="shared" si="12"/>
        <v>Middle Age</v>
      </c>
      <c r="N814" t="s">
        <v>18</v>
      </c>
    </row>
    <row r="815" spans="1:14" x14ac:dyDescent="0.25">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Middle Age</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Young Adult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Early 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Early 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Young Adult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Young Adult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Early 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Young Adult</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Young Adult</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Early 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Early 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Early 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Young Adult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Elderly</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Early 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Early 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IF(L835&gt;=65,"Elderly",IF(L835&gt;=45,"Middle Age",IF(L835&gt;=36,"Early Middle Age","Young Adult")))</f>
        <v>Early 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Early 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Young Adult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Young Adult</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Early 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Early Middle Age</v>
      </c>
      <c r="N841" t="s">
        <v>15</v>
      </c>
    </row>
    <row r="842" spans="1:14" x14ac:dyDescent="0.25">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Middle Age</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45</v>
      </c>
      <c r="K846" t="s">
        <v>32</v>
      </c>
      <c r="L846">
        <v>60</v>
      </c>
      <c r="M846" t="str">
        <f t="shared" si="13"/>
        <v>Middle Age</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Middle Age</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Young Adult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Early 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Middle Age</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Elderly</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Young Adult</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Early 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Young Adult</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Young Adult</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Young Adult</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Young Adult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Early 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Young Adult</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Young Adult</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Early 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Young Adult</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Early Middle Age</v>
      </c>
      <c r="N867" t="s">
        <v>15</v>
      </c>
    </row>
    <row r="868" spans="1:14" x14ac:dyDescent="0.25">
      <c r="A868">
        <v>28052</v>
      </c>
      <c r="B868" t="s">
        <v>36</v>
      </c>
      <c r="C868" t="s">
        <v>38</v>
      </c>
      <c r="D868" s="3">
        <v>60000</v>
      </c>
      <c r="E868">
        <v>2</v>
      </c>
      <c r="F868" t="s">
        <v>27</v>
      </c>
      <c r="G868" t="s">
        <v>21</v>
      </c>
      <c r="H868" t="s">
        <v>15</v>
      </c>
      <c r="I868">
        <v>2</v>
      </c>
      <c r="J868" t="s">
        <v>45</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45</v>
      </c>
      <c r="K870" t="s">
        <v>32</v>
      </c>
      <c r="L870">
        <v>60</v>
      </c>
      <c r="M870" t="str">
        <f t="shared" si="13"/>
        <v>Middle Age</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Early 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45</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Early 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Early 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Young Adult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Middle Age</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Elderly</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Early 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Elderly</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Young Adult</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Elderly</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Young Adult</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Young Adult</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Early 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Young Adult</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Elderly</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Early 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Young Adult</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Young Adult</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Middle Age</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Young Adult</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IF(L899&gt;=65,"Elderly",IF(L899&gt;=45,"Middle Age",IF(L899&gt;=36,"Early Middle Age","Young Adult")))</f>
        <v>Young Adult</v>
      </c>
      <c r="N899" t="s">
        <v>18</v>
      </c>
    </row>
    <row r="900" spans="1:14" x14ac:dyDescent="0.25">
      <c r="A900">
        <v>18066</v>
      </c>
      <c r="B900" t="s">
        <v>37</v>
      </c>
      <c r="C900" t="s">
        <v>38</v>
      </c>
      <c r="D900" s="3">
        <v>70000</v>
      </c>
      <c r="E900">
        <v>5</v>
      </c>
      <c r="F900" t="s">
        <v>13</v>
      </c>
      <c r="G900" t="s">
        <v>28</v>
      </c>
      <c r="H900" t="s">
        <v>15</v>
      </c>
      <c r="I900">
        <v>3</v>
      </c>
      <c r="J900" t="s">
        <v>45</v>
      </c>
      <c r="K900" t="s">
        <v>32</v>
      </c>
      <c r="L900">
        <v>60</v>
      </c>
      <c r="M900" t="str">
        <f t="shared" si="14"/>
        <v>Middle Age</v>
      </c>
      <c r="N900" t="s">
        <v>15</v>
      </c>
    </row>
    <row r="901" spans="1:14" x14ac:dyDescent="0.25">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Early 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Early 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Early 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Elderly</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Early 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Early 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Young Adult</v>
      </c>
      <c r="N908" t="s">
        <v>15</v>
      </c>
    </row>
    <row r="909" spans="1:14" x14ac:dyDescent="0.25">
      <c r="A909">
        <v>19747</v>
      </c>
      <c r="B909" t="s">
        <v>36</v>
      </c>
      <c r="C909" t="s">
        <v>38</v>
      </c>
      <c r="D909" s="3">
        <v>50000</v>
      </c>
      <c r="E909">
        <v>4</v>
      </c>
      <c r="F909" t="s">
        <v>13</v>
      </c>
      <c r="G909" t="s">
        <v>28</v>
      </c>
      <c r="H909" t="s">
        <v>15</v>
      </c>
      <c r="I909">
        <v>2</v>
      </c>
      <c r="J909" t="s">
        <v>45</v>
      </c>
      <c r="K909" t="s">
        <v>32</v>
      </c>
      <c r="L909">
        <v>63</v>
      </c>
      <c r="M909" t="str">
        <f t="shared" si="14"/>
        <v>Middle Age</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Early 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Early 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Middle Age</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Young Adult</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Early 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45</v>
      </c>
      <c r="K917" t="s">
        <v>32</v>
      </c>
      <c r="L917">
        <v>64</v>
      </c>
      <c r="M917" t="str">
        <f t="shared" si="14"/>
        <v>Middle Age</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Young Adult</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Early 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Young Adult</v>
      </c>
      <c r="N920" t="s">
        <v>15</v>
      </c>
    </row>
    <row r="921" spans="1:14" x14ac:dyDescent="0.25">
      <c r="A921">
        <v>21451</v>
      </c>
      <c r="B921" t="s">
        <v>36</v>
      </c>
      <c r="C921" t="s">
        <v>39</v>
      </c>
      <c r="D921" s="3">
        <v>40000</v>
      </c>
      <c r="E921">
        <v>4</v>
      </c>
      <c r="F921" t="s">
        <v>27</v>
      </c>
      <c r="G921" t="s">
        <v>21</v>
      </c>
      <c r="H921" t="s">
        <v>15</v>
      </c>
      <c r="I921">
        <v>2</v>
      </c>
      <c r="J921" t="s">
        <v>45</v>
      </c>
      <c r="K921" t="s">
        <v>32</v>
      </c>
      <c r="L921">
        <v>61</v>
      </c>
      <c r="M921" t="str">
        <f t="shared" si="14"/>
        <v>Middle Age</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Young Adult</v>
      </c>
      <c r="N927" t="s">
        <v>15</v>
      </c>
    </row>
    <row r="928" spans="1:14" x14ac:dyDescent="0.25">
      <c r="A928">
        <v>26495</v>
      </c>
      <c r="B928" t="s">
        <v>37</v>
      </c>
      <c r="C928" t="s">
        <v>39</v>
      </c>
      <c r="D928" s="3">
        <v>40000</v>
      </c>
      <c r="E928">
        <v>2</v>
      </c>
      <c r="F928" t="s">
        <v>27</v>
      </c>
      <c r="G928" t="s">
        <v>21</v>
      </c>
      <c r="H928" t="s">
        <v>15</v>
      </c>
      <c r="I928">
        <v>2</v>
      </c>
      <c r="J928" t="s">
        <v>45</v>
      </c>
      <c r="K928" t="s">
        <v>32</v>
      </c>
      <c r="L928">
        <v>57</v>
      </c>
      <c r="M928" t="str">
        <f t="shared" si="14"/>
        <v>Middle Age</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Early 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Young Adult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Young Adult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Middle Age</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Middle Age</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Early 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Young Adult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Young Adult</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Young Adult</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Early 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Young Adult</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Early 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Middle Age</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Early Middle Age</v>
      </c>
      <c r="N950" t="s">
        <v>18</v>
      </c>
    </row>
    <row r="951" spans="1:14" x14ac:dyDescent="0.25">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Young Adult</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Early 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Middle Age</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Young Adult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Early 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Young Adult</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Young Adult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IF(L963&gt;=65,"Elderly",IF(L963&gt;=45,"Middle Age",IF(L963&gt;=36,"Early Middle Age","Young Adult")))</f>
        <v>Middle Age</v>
      </c>
      <c r="N963" t="s">
        <v>18</v>
      </c>
    </row>
    <row r="964" spans="1:14" x14ac:dyDescent="0.25">
      <c r="A964">
        <v>16813</v>
      </c>
      <c r="B964" t="s">
        <v>36</v>
      </c>
      <c r="C964" t="s">
        <v>38</v>
      </c>
      <c r="D964" s="3">
        <v>60000</v>
      </c>
      <c r="E964">
        <v>2</v>
      </c>
      <c r="F964" t="s">
        <v>19</v>
      </c>
      <c r="G964" t="s">
        <v>21</v>
      </c>
      <c r="H964" t="s">
        <v>15</v>
      </c>
      <c r="I964">
        <v>2</v>
      </c>
      <c r="J964" t="s">
        <v>45</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Elderly</v>
      </c>
      <c r="N965" t="s">
        <v>15</v>
      </c>
    </row>
    <row r="966" spans="1:14" x14ac:dyDescent="0.25">
      <c r="A966">
        <v>27434</v>
      </c>
      <c r="B966" t="s">
        <v>37</v>
      </c>
      <c r="C966" t="s">
        <v>38</v>
      </c>
      <c r="D966" s="3">
        <v>70000</v>
      </c>
      <c r="E966">
        <v>4</v>
      </c>
      <c r="F966" t="s">
        <v>19</v>
      </c>
      <c r="G966" t="s">
        <v>21</v>
      </c>
      <c r="H966" t="s">
        <v>15</v>
      </c>
      <c r="I966">
        <v>1</v>
      </c>
      <c r="J966" t="s">
        <v>45</v>
      </c>
      <c r="K966" t="s">
        <v>32</v>
      </c>
      <c r="L966">
        <v>56</v>
      </c>
      <c r="M966" t="str">
        <f t="shared" si="15"/>
        <v>Middle Age</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Early 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Young Adult</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Middle Age</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Young Adult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Early 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Young Adult</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Young Adult</v>
      </c>
      <c r="N977" t="s">
        <v>15</v>
      </c>
    </row>
    <row r="978" spans="1:14" x14ac:dyDescent="0.25">
      <c r="A978">
        <v>28004</v>
      </c>
      <c r="B978" t="s">
        <v>36</v>
      </c>
      <c r="C978" t="s">
        <v>39</v>
      </c>
      <c r="D978" s="3">
        <v>60000</v>
      </c>
      <c r="E978">
        <v>3</v>
      </c>
      <c r="F978" t="s">
        <v>13</v>
      </c>
      <c r="G978" t="s">
        <v>28</v>
      </c>
      <c r="H978" t="s">
        <v>15</v>
      </c>
      <c r="I978">
        <v>2</v>
      </c>
      <c r="J978" t="s">
        <v>45</v>
      </c>
      <c r="K978" t="s">
        <v>32</v>
      </c>
      <c r="L978">
        <v>66</v>
      </c>
      <c r="M978" t="str">
        <f t="shared" si="15"/>
        <v>Elderly</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Elderly</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Young Adult</v>
      </c>
      <c r="N981" t="s">
        <v>18</v>
      </c>
    </row>
    <row r="982" spans="1:14" x14ac:dyDescent="0.25">
      <c r="A982">
        <v>18594</v>
      </c>
      <c r="B982" t="s">
        <v>37</v>
      </c>
      <c r="C982" t="s">
        <v>39</v>
      </c>
      <c r="D982" s="3">
        <v>80000</v>
      </c>
      <c r="E982">
        <v>3</v>
      </c>
      <c r="F982" t="s">
        <v>13</v>
      </c>
      <c r="G982" t="s">
        <v>14</v>
      </c>
      <c r="H982" t="s">
        <v>15</v>
      </c>
      <c r="I982">
        <v>3</v>
      </c>
      <c r="J982" t="s">
        <v>45</v>
      </c>
      <c r="K982" t="s">
        <v>32</v>
      </c>
      <c r="L982">
        <v>40</v>
      </c>
      <c r="M982" t="str">
        <f t="shared" si="15"/>
        <v>Early 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Early 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Early Middle Age</v>
      </c>
      <c r="N987" t="s">
        <v>18</v>
      </c>
    </row>
    <row r="988" spans="1:14" x14ac:dyDescent="0.25">
      <c r="A988">
        <v>23704</v>
      </c>
      <c r="B988" t="s">
        <v>37</v>
      </c>
      <c r="C988" t="s">
        <v>38</v>
      </c>
      <c r="D988" s="3">
        <v>40000</v>
      </c>
      <c r="E988">
        <v>5</v>
      </c>
      <c r="F988" t="s">
        <v>27</v>
      </c>
      <c r="G988" t="s">
        <v>21</v>
      </c>
      <c r="H988" t="s">
        <v>15</v>
      </c>
      <c r="I988">
        <v>4</v>
      </c>
      <c r="J988" t="s">
        <v>45</v>
      </c>
      <c r="K988" t="s">
        <v>32</v>
      </c>
      <c r="L988">
        <v>60</v>
      </c>
      <c r="M988" t="str">
        <f t="shared" si="15"/>
        <v>Middle Age</v>
      </c>
      <c r="N988" t="s">
        <v>15</v>
      </c>
    </row>
    <row r="989" spans="1:14" x14ac:dyDescent="0.25">
      <c r="A989">
        <v>28972</v>
      </c>
      <c r="B989" t="s">
        <v>37</v>
      </c>
      <c r="C989" t="s">
        <v>39</v>
      </c>
      <c r="D989" s="3">
        <v>60000</v>
      </c>
      <c r="E989">
        <v>3</v>
      </c>
      <c r="F989" t="s">
        <v>31</v>
      </c>
      <c r="G989" t="s">
        <v>28</v>
      </c>
      <c r="H989" t="s">
        <v>15</v>
      </c>
      <c r="I989">
        <v>2</v>
      </c>
      <c r="J989" t="s">
        <v>45</v>
      </c>
      <c r="K989" t="s">
        <v>32</v>
      </c>
      <c r="L989">
        <v>66</v>
      </c>
      <c r="M989" t="str">
        <f t="shared" si="15"/>
        <v>Elderly</v>
      </c>
      <c r="N989" t="s">
        <v>18</v>
      </c>
    </row>
    <row r="990" spans="1:14" x14ac:dyDescent="0.25">
      <c r="A990">
        <v>22730</v>
      </c>
      <c r="B990" t="s">
        <v>36</v>
      </c>
      <c r="C990" t="s">
        <v>38</v>
      </c>
      <c r="D990" s="3">
        <v>70000</v>
      </c>
      <c r="E990">
        <v>5</v>
      </c>
      <c r="F990" t="s">
        <v>13</v>
      </c>
      <c r="G990" t="s">
        <v>28</v>
      </c>
      <c r="H990" t="s">
        <v>15</v>
      </c>
      <c r="I990">
        <v>2</v>
      </c>
      <c r="J990" t="s">
        <v>45</v>
      </c>
      <c r="K990" t="s">
        <v>32</v>
      </c>
      <c r="L990">
        <v>63</v>
      </c>
      <c r="M990" t="str">
        <f t="shared" si="15"/>
        <v>Middle Age</v>
      </c>
      <c r="N990" t="s">
        <v>18</v>
      </c>
    </row>
    <row r="991" spans="1:14" x14ac:dyDescent="0.25">
      <c r="A991">
        <v>29134</v>
      </c>
      <c r="B991" t="s">
        <v>36</v>
      </c>
      <c r="C991" t="s">
        <v>38</v>
      </c>
      <c r="D991" s="3">
        <v>60000</v>
      </c>
      <c r="E991">
        <v>4</v>
      </c>
      <c r="F991" t="s">
        <v>13</v>
      </c>
      <c r="G991" t="s">
        <v>14</v>
      </c>
      <c r="H991" t="s">
        <v>18</v>
      </c>
      <c r="I991">
        <v>3</v>
      </c>
      <c r="J991" t="s">
        <v>45</v>
      </c>
      <c r="K991" t="s">
        <v>32</v>
      </c>
      <c r="L991">
        <v>42</v>
      </c>
      <c r="M991" t="str">
        <f t="shared" si="15"/>
        <v>Early 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Young Adult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Early 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Early 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Young Adult</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Early 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Early Middle Age</v>
      </c>
      <c r="N1000" t="s">
        <v>18</v>
      </c>
    </row>
    <row r="1001" spans="1:14" x14ac:dyDescent="0.25">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sheetData>
  <autoFilter ref="A1:N1001" xr:uid="{DC17C2A7-5935-43A2-9CCA-9F0ACCAE8C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E990-AF81-4C88-A4B6-92B94808035E}">
  <dimension ref="A3:G70"/>
  <sheetViews>
    <sheetView topLeftCell="A25" zoomScale="51" zoomScaleNormal="51" workbookViewId="0">
      <selection activeCell="V6" sqref="V6"/>
    </sheetView>
  </sheetViews>
  <sheetFormatPr defaultRowHeight="15" x14ac:dyDescent="0.25"/>
  <cols>
    <col min="1" max="1" width="19.7109375" bestFit="1" customWidth="1"/>
    <col min="2" max="3" width="32.28515625" bestFit="1" customWidth="1"/>
    <col min="4" max="4" width="16.42578125" bestFit="1" customWidth="1"/>
    <col min="5" max="6" width="3.7109375" bestFit="1" customWidth="1"/>
    <col min="7" max="7" width="16.42578125" bestFit="1" customWidth="1"/>
    <col min="8" max="8" width="11.28515625" bestFit="1" customWidth="1"/>
    <col min="9" max="9" width="11.85546875" bestFit="1" customWidth="1"/>
    <col min="10" max="10" width="22.85546875" bestFit="1" customWidth="1"/>
    <col min="11" max="11" width="27.85546875" bestFit="1" customWidth="1"/>
    <col min="12" max="16" width="16.28515625" bestFit="1" customWidth="1"/>
    <col min="17" max="17" width="11.28515625" bestFit="1" customWidth="1"/>
    <col min="18" max="23" width="9" bestFit="1" customWidth="1"/>
    <col min="24" max="24" width="12" bestFit="1" customWidth="1"/>
    <col min="25" max="44" width="13.140625" bestFit="1" customWidth="1"/>
    <col min="45" max="45" width="16.28515625" bestFit="1" customWidth="1"/>
    <col min="46" max="56" width="13.7109375" bestFit="1" customWidth="1"/>
    <col min="57" max="57" width="16.85546875" bestFit="1" customWidth="1"/>
    <col min="58" max="58" width="11.28515625" bestFit="1" customWidth="1"/>
  </cols>
  <sheetData>
    <row r="3" spans="1:4" x14ac:dyDescent="0.25">
      <c r="A3" s="4" t="s">
        <v>44</v>
      </c>
      <c r="B3" s="4" t="s">
        <v>43</v>
      </c>
    </row>
    <row r="4" spans="1:4" x14ac:dyDescent="0.25">
      <c r="A4" s="4" t="s">
        <v>41</v>
      </c>
      <c r="B4" t="s">
        <v>18</v>
      </c>
      <c r="C4" t="s">
        <v>15</v>
      </c>
      <c r="D4" t="s">
        <v>42</v>
      </c>
    </row>
    <row r="5" spans="1:4" x14ac:dyDescent="0.25">
      <c r="A5" s="5" t="s">
        <v>39</v>
      </c>
      <c r="B5" s="6">
        <v>15000</v>
      </c>
      <c r="C5" s="6">
        <v>63333.333333333336</v>
      </c>
      <c r="D5" s="6">
        <v>51250</v>
      </c>
    </row>
    <row r="6" spans="1:4" x14ac:dyDescent="0.25">
      <c r="A6" s="5" t="s">
        <v>38</v>
      </c>
      <c r="B6" s="6">
        <v>23333.333333333332</v>
      </c>
      <c r="C6" s="6">
        <v>48571.428571428572</v>
      </c>
      <c r="D6" s="6">
        <v>41000</v>
      </c>
    </row>
    <row r="7" spans="1:4" x14ac:dyDescent="0.25">
      <c r="A7" s="5" t="s">
        <v>42</v>
      </c>
      <c r="B7" s="6">
        <v>20000</v>
      </c>
      <c r="C7" s="6">
        <v>55384.615384615383</v>
      </c>
      <c r="D7" s="6">
        <v>45555.555555555555</v>
      </c>
    </row>
    <row r="19" spans="1:7" x14ac:dyDescent="0.25">
      <c r="A19" s="4" t="s">
        <v>46</v>
      </c>
      <c r="B19" s="4" t="s">
        <v>43</v>
      </c>
    </row>
    <row r="20" spans="1:7" x14ac:dyDescent="0.25">
      <c r="A20" s="4" t="s">
        <v>41</v>
      </c>
      <c r="B20">
        <v>0</v>
      </c>
      <c r="C20">
        <v>1</v>
      </c>
      <c r="D20">
        <v>2</v>
      </c>
      <c r="E20">
        <v>3</v>
      </c>
      <c r="F20">
        <v>4</v>
      </c>
      <c r="G20" t="s">
        <v>42</v>
      </c>
    </row>
    <row r="21" spans="1:7" x14ac:dyDescent="0.25">
      <c r="A21" s="8" t="s">
        <v>16</v>
      </c>
      <c r="B21" s="13">
        <v>3</v>
      </c>
      <c r="C21" s="13">
        <v>1</v>
      </c>
      <c r="D21" s="13">
        <v>6</v>
      </c>
      <c r="E21" s="13">
        <v>2</v>
      </c>
      <c r="F21" s="13">
        <v>2</v>
      </c>
      <c r="G21" s="13">
        <v>14</v>
      </c>
    </row>
    <row r="22" spans="1:7" x14ac:dyDescent="0.25">
      <c r="A22" s="8" t="s">
        <v>26</v>
      </c>
      <c r="B22" s="13"/>
      <c r="C22" s="13">
        <v>2</v>
      </c>
      <c r="D22" s="13">
        <v>19</v>
      </c>
      <c r="E22" s="13">
        <v>1</v>
      </c>
      <c r="F22" s="13"/>
      <c r="G22" s="13">
        <v>22</v>
      </c>
    </row>
    <row r="23" spans="1:7" x14ac:dyDescent="0.25">
      <c r="A23" s="8" t="s">
        <v>22</v>
      </c>
      <c r="B23" s="13">
        <v>1</v>
      </c>
      <c r="C23" s="13">
        <v>1</v>
      </c>
      <c r="D23" s="13">
        <v>10</v>
      </c>
      <c r="E23" s="13"/>
      <c r="F23" s="13">
        <v>1</v>
      </c>
      <c r="G23" s="13">
        <v>13</v>
      </c>
    </row>
    <row r="24" spans="1:7" x14ac:dyDescent="0.25">
      <c r="A24" s="8" t="s">
        <v>23</v>
      </c>
      <c r="B24" s="13">
        <v>1</v>
      </c>
      <c r="C24" s="13">
        <v>2</v>
      </c>
      <c r="D24" s="13">
        <v>25</v>
      </c>
      <c r="E24" s="13">
        <v>3</v>
      </c>
      <c r="F24" s="13">
        <v>2</v>
      </c>
      <c r="G24" s="13">
        <v>33</v>
      </c>
    </row>
    <row r="25" spans="1:7" x14ac:dyDescent="0.25">
      <c r="A25" s="8" t="s">
        <v>45</v>
      </c>
      <c r="B25" s="13"/>
      <c r="C25" s="13">
        <v>1</v>
      </c>
      <c r="D25" s="13">
        <v>9</v>
      </c>
      <c r="E25" s="13">
        <v>2</v>
      </c>
      <c r="F25" s="13">
        <v>2</v>
      </c>
      <c r="G25" s="13">
        <v>14</v>
      </c>
    </row>
    <row r="26" spans="1:7" x14ac:dyDescent="0.25">
      <c r="A26" s="8" t="s">
        <v>42</v>
      </c>
      <c r="B26" s="13">
        <v>5</v>
      </c>
      <c r="C26" s="13">
        <v>7</v>
      </c>
      <c r="D26" s="13">
        <v>69</v>
      </c>
      <c r="E26" s="13">
        <v>8</v>
      </c>
      <c r="F26" s="13">
        <v>7</v>
      </c>
      <c r="G26" s="13">
        <v>96</v>
      </c>
    </row>
    <row r="36" spans="1:4" x14ac:dyDescent="0.25">
      <c r="A36" s="4" t="s">
        <v>46</v>
      </c>
      <c r="B36" s="4" t="s">
        <v>43</v>
      </c>
    </row>
    <row r="37" spans="1:4" x14ac:dyDescent="0.25">
      <c r="A37" s="4" t="s">
        <v>41</v>
      </c>
      <c r="B37" t="s">
        <v>18</v>
      </c>
      <c r="C37" t="s">
        <v>15</v>
      </c>
      <c r="D37" t="s">
        <v>42</v>
      </c>
    </row>
    <row r="38" spans="1:4" x14ac:dyDescent="0.25">
      <c r="A38" s="8" t="s">
        <v>50</v>
      </c>
      <c r="B38" s="13">
        <v>1</v>
      </c>
      <c r="C38" s="13"/>
      <c r="D38" s="13">
        <v>1</v>
      </c>
    </row>
    <row r="39" spans="1:4" x14ac:dyDescent="0.25">
      <c r="A39" s="8" t="s">
        <v>49</v>
      </c>
      <c r="B39" s="13">
        <v>42</v>
      </c>
      <c r="C39" s="13">
        <v>26</v>
      </c>
      <c r="D39" s="13">
        <v>68</v>
      </c>
    </row>
    <row r="40" spans="1:4" x14ac:dyDescent="0.25">
      <c r="A40" s="8" t="s">
        <v>48</v>
      </c>
      <c r="B40" s="13">
        <v>4</v>
      </c>
      <c r="C40" s="13">
        <v>6</v>
      </c>
      <c r="D40" s="13">
        <v>10</v>
      </c>
    </row>
    <row r="41" spans="1:4" x14ac:dyDescent="0.25">
      <c r="A41" s="8" t="s">
        <v>47</v>
      </c>
      <c r="B41" s="13">
        <v>8</v>
      </c>
      <c r="C41" s="13">
        <v>9</v>
      </c>
      <c r="D41" s="13">
        <v>17</v>
      </c>
    </row>
    <row r="42" spans="1:4" x14ac:dyDescent="0.25">
      <c r="A42" s="8" t="s">
        <v>42</v>
      </c>
      <c r="B42" s="13">
        <v>55</v>
      </c>
      <c r="C42" s="13">
        <v>41</v>
      </c>
      <c r="D42" s="13">
        <v>96</v>
      </c>
    </row>
    <row r="52" spans="1:3" x14ac:dyDescent="0.25">
      <c r="A52" s="4" t="s">
        <v>41</v>
      </c>
      <c r="B52" t="s">
        <v>44</v>
      </c>
      <c r="C52" t="s">
        <v>46</v>
      </c>
    </row>
    <row r="53" spans="1:3" x14ac:dyDescent="0.25">
      <c r="A53" s="8" t="s">
        <v>20</v>
      </c>
      <c r="B53" s="3">
        <v>30000</v>
      </c>
      <c r="C53" s="13">
        <v>2</v>
      </c>
    </row>
    <row r="54" spans="1:3" x14ac:dyDescent="0.25">
      <c r="A54" s="8" t="s">
        <v>28</v>
      </c>
      <c r="B54" s="3">
        <v>100000</v>
      </c>
      <c r="C54" s="13">
        <v>7</v>
      </c>
    </row>
    <row r="55" spans="1:3" x14ac:dyDescent="0.25">
      <c r="A55" s="8" t="s">
        <v>25</v>
      </c>
      <c r="B55" s="3">
        <v>16363.636363636364</v>
      </c>
      <c r="C55" s="13">
        <v>11</v>
      </c>
    </row>
    <row r="56" spans="1:3" x14ac:dyDescent="0.25">
      <c r="A56" s="8" t="s">
        <v>21</v>
      </c>
      <c r="B56" s="3">
        <v>72000</v>
      </c>
      <c r="C56" s="13">
        <v>40</v>
      </c>
    </row>
    <row r="57" spans="1:3" x14ac:dyDescent="0.25">
      <c r="A57" s="8" t="s">
        <v>14</v>
      </c>
      <c r="B57" s="3">
        <v>36111.111111111109</v>
      </c>
      <c r="C57" s="13">
        <v>36</v>
      </c>
    </row>
    <row r="58" spans="1:3" x14ac:dyDescent="0.25">
      <c r="A58" s="8" t="s">
        <v>42</v>
      </c>
      <c r="B58" s="13">
        <v>53333.333333333336</v>
      </c>
      <c r="C58" s="13">
        <v>96</v>
      </c>
    </row>
    <row r="67" spans="1:2" x14ac:dyDescent="0.25">
      <c r="A67" s="4" t="s">
        <v>41</v>
      </c>
      <c r="B67" t="s">
        <v>46</v>
      </c>
    </row>
    <row r="68" spans="1:2" x14ac:dyDescent="0.25">
      <c r="A68" s="8" t="s">
        <v>18</v>
      </c>
      <c r="B68" s="9">
        <v>0.3125</v>
      </c>
    </row>
    <row r="69" spans="1:2" x14ac:dyDescent="0.25">
      <c r="A69" s="8" t="s">
        <v>15</v>
      </c>
      <c r="B69" s="9">
        <v>0.6875</v>
      </c>
    </row>
    <row r="70" spans="1:2" x14ac:dyDescent="0.25">
      <c r="A70" s="8" t="s">
        <v>42</v>
      </c>
      <c r="B70" s="9">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5E688-6EA8-4C6A-9583-3E88C5F4709D}">
  <dimension ref="A1:AJ8"/>
  <sheetViews>
    <sheetView showGridLines="0" tabSelected="1" topLeftCell="A10" zoomScale="50" zoomScaleNormal="50" workbookViewId="0">
      <selection activeCell="Y31" sqref="Y31"/>
    </sheetView>
  </sheetViews>
  <sheetFormatPr defaultRowHeight="15" x14ac:dyDescent="0.25"/>
  <sheetData>
    <row r="1" spans="1:36" ht="15" customHeight="1" x14ac:dyDescent="0.7">
      <c r="A1" s="12" t="s">
        <v>51</v>
      </c>
      <c r="B1" s="12"/>
      <c r="C1" s="12"/>
      <c r="D1" s="12"/>
      <c r="E1" s="12"/>
      <c r="F1" s="12"/>
      <c r="G1" s="12"/>
      <c r="H1" s="12"/>
      <c r="I1" s="12"/>
      <c r="J1" s="12"/>
      <c r="K1" s="12"/>
      <c r="L1" s="12"/>
      <c r="M1" s="12"/>
      <c r="N1" s="12"/>
      <c r="O1" s="12"/>
      <c r="P1" s="12"/>
      <c r="Q1" s="12"/>
      <c r="R1" s="12"/>
      <c r="S1" s="12"/>
      <c r="T1" s="12"/>
      <c r="U1" s="12"/>
      <c r="V1" s="12"/>
      <c r="W1" s="11"/>
      <c r="X1" s="11"/>
      <c r="Y1" s="11"/>
      <c r="Z1" s="11"/>
      <c r="AA1" s="11"/>
      <c r="AB1" s="11"/>
      <c r="AC1" s="11"/>
      <c r="AD1" s="11"/>
      <c r="AE1" s="11"/>
      <c r="AF1" s="11"/>
      <c r="AG1" s="11"/>
      <c r="AH1" s="11"/>
      <c r="AI1" s="11"/>
      <c r="AJ1" s="11"/>
    </row>
    <row r="2" spans="1:36" ht="15" customHeight="1" x14ac:dyDescent="0.7">
      <c r="A2" s="12"/>
      <c r="B2" s="12"/>
      <c r="C2" s="12"/>
      <c r="D2" s="12"/>
      <c r="E2" s="12"/>
      <c r="F2" s="12"/>
      <c r="G2" s="12"/>
      <c r="H2" s="12"/>
      <c r="I2" s="12"/>
      <c r="J2" s="12"/>
      <c r="K2" s="12"/>
      <c r="L2" s="12"/>
      <c r="M2" s="12"/>
      <c r="N2" s="12"/>
      <c r="O2" s="12"/>
      <c r="P2" s="12"/>
      <c r="Q2" s="12"/>
      <c r="R2" s="12"/>
      <c r="S2" s="12"/>
      <c r="T2" s="12"/>
      <c r="U2" s="12"/>
      <c r="V2" s="12"/>
      <c r="W2" s="11"/>
      <c r="X2" s="11"/>
      <c r="Y2" s="11"/>
      <c r="Z2" s="11"/>
      <c r="AA2" s="11"/>
      <c r="AB2" s="11"/>
      <c r="AC2" s="11"/>
      <c r="AD2" s="11"/>
      <c r="AE2" s="11"/>
      <c r="AF2" s="11"/>
      <c r="AG2" s="11"/>
      <c r="AH2" s="11"/>
      <c r="AI2" s="11"/>
      <c r="AJ2" s="11"/>
    </row>
    <row r="3" spans="1:36" ht="15" customHeight="1" x14ac:dyDescent="0.7">
      <c r="A3" s="12"/>
      <c r="B3" s="12"/>
      <c r="C3" s="12"/>
      <c r="D3" s="12"/>
      <c r="E3" s="12"/>
      <c r="F3" s="12"/>
      <c r="G3" s="12"/>
      <c r="H3" s="12"/>
      <c r="I3" s="12"/>
      <c r="J3" s="12"/>
      <c r="K3" s="12"/>
      <c r="L3" s="12"/>
      <c r="M3" s="12"/>
      <c r="N3" s="12"/>
      <c r="O3" s="12"/>
      <c r="P3" s="12"/>
      <c r="Q3" s="12"/>
      <c r="R3" s="12"/>
      <c r="S3" s="12"/>
      <c r="T3" s="12"/>
      <c r="U3" s="12"/>
      <c r="V3" s="12"/>
      <c r="W3" s="11"/>
      <c r="X3" s="11"/>
      <c r="Y3" s="11"/>
      <c r="Z3" s="11"/>
      <c r="AA3" s="11"/>
      <c r="AB3" s="11"/>
      <c r="AC3" s="11"/>
      <c r="AD3" s="11"/>
      <c r="AE3" s="11"/>
      <c r="AF3" s="11"/>
      <c r="AG3" s="11"/>
      <c r="AH3" s="11"/>
      <c r="AI3" s="11"/>
      <c r="AJ3" s="11"/>
    </row>
    <row r="4" spans="1:36" ht="15" customHeight="1" x14ac:dyDescent="0.7">
      <c r="A4" s="12"/>
      <c r="B4" s="12"/>
      <c r="C4" s="12"/>
      <c r="D4" s="12"/>
      <c r="E4" s="12"/>
      <c r="F4" s="12"/>
      <c r="G4" s="12"/>
      <c r="H4" s="12"/>
      <c r="I4" s="12"/>
      <c r="J4" s="12"/>
      <c r="K4" s="12"/>
      <c r="L4" s="12"/>
      <c r="M4" s="12"/>
      <c r="N4" s="12"/>
      <c r="O4" s="12"/>
      <c r="P4" s="12"/>
      <c r="Q4" s="12"/>
      <c r="R4" s="12"/>
      <c r="S4" s="12"/>
      <c r="T4" s="12"/>
      <c r="U4" s="12"/>
      <c r="V4" s="12"/>
      <c r="W4" s="11"/>
      <c r="X4" s="11"/>
      <c r="Y4" s="11"/>
      <c r="Z4" s="11"/>
      <c r="AA4" s="11"/>
      <c r="AB4" s="11"/>
      <c r="AC4" s="11"/>
      <c r="AD4" s="11"/>
      <c r="AE4" s="11"/>
      <c r="AF4" s="11"/>
      <c r="AG4" s="11"/>
      <c r="AH4" s="11"/>
      <c r="AI4" s="11"/>
      <c r="AJ4" s="11"/>
    </row>
    <row r="5" spans="1:36" x14ac:dyDescent="0.25">
      <c r="A5" s="12"/>
      <c r="B5" s="12"/>
      <c r="C5" s="12"/>
      <c r="D5" s="12"/>
      <c r="E5" s="12"/>
      <c r="F5" s="12"/>
      <c r="G5" s="12"/>
      <c r="H5" s="12"/>
      <c r="I5" s="12"/>
      <c r="J5" s="12"/>
      <c r="K5" s="12"/>
      <c r="L5" s="12"/>
      <c r="M5" s="12"/>
      <c r="N5" s="12"/>
      <c r="O5" s="12"/>
      <c r="P5" s="12"/>
      <c r="Q5" s="12"/>
      <c r="R5" s="12"/>
      <c r="S5" s="12"/>
      <c r="T5" s="12"/>
      <c r="U5" s="12"/>
      <c r="V5" s="12"/>
    </row>
    <row r="6" spans="1:36" x14ac:dyDescent="0.25">
      <c r="A6" s="12"/>
      <c r="B6" s="12"/>
      <c r="C6" s="12"/>
      <c r="D6" s="12"/>
      <c r="E6" s="12"/>
      <c r="F6" s="12"/>
      <c r="G6" s="12"/>
      <c r="H6" s="12"/>
      <c r="I6" s="12"/>
      <c r="J6" s="12"/>
      <c r="K6" s="12"/>
      <c r="L6" s="12"/>
      <c r="M6" s="12"/>
      <c r="N6" s="12"/>
      <c r="O6" s="12"/>
      <c r="P6" s="12"/>
      <c r="Q6" s="12"/>
      <c r="R6" s="12"/>
      <c r="S6" s="12"/>
      <c r="T6" s="12"/>
      <c r="U6" s="12"/>
      <c r="V6" s="12"/>
    </row>
    <row r="8" spans="1:36" x14ac:dyDescent="0.25">
      <c r="Y8" s="10"/>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(Orig data)</vt:lpstr>
      <vt:lpstr>Cleaned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2022-03-18T02:50:57Z</dcterms:created>
  <dcterms:modified xsi:type="dcterms:W3CDTF">2023-09-13T07:35:25Z</dcterms:modified>
</cp:coreProperties>
</file>